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a\Downloads\"/>
    </mc:Choice>
  </mc:AlternateContent>
  <xr:revisionPtr revIDLastSave="0" documentId="8_{A5994655-CD52-4011-94C7-6416F3239B64}" xr6:coauthVersionLast="47" xr6:coauthVersionMax="47" xr10:uidLastSave="{00000000-0000-0000-0000-000000000000}"/>
  <bookViews>
    <workbookView xWindow="-15" yWindow="0" windowWidth="14400" windowHeight="15600" firstSheet="3" activeTab="5" xr2:uid="{00000000-000D-0000-FFFF-FFFF00000000}"/>
  </bookViews>
  <sheets>
    <sheet name="Отчет о результатах 2" sheetId="5" r:id="rId1"/>
    <sheet name="Вариант 1" sheetId="1" r:id="rId2"/>
    <sheet name="Отчет о результатах 1" sheetId="4" r:id="rId3"/>
    <sheet name="Вариант 3" sheetId="2" r:id="rId4"/>
    <sheet name="Отчет о результатах 3" sheetId="6" r:id="rId5"/>
    <sheet name="Вариант 5" sheetId="3" r:id="rId6"/>
  </sheets>
  <definedNames>
    <definedName name="solver_adj" localSheetId="1" hidden="1">'Вариант 1'!$B$30:$D$30</definedName>
    <definedName name="solver_adj" localSheetId="3" hidden="1">'Вариант 3'!$B$30:$D$30</definedName>
    <definedName name="solver_adj" localSheetId="5" hidden="1">'Вариант 5'!$B$36:$E$36</definedName>
    <definedName name="solver_cvg" localSheetId="1" hidden="1">0.0001</definedName>
    <definedName name="solver_cvg" localSheetId="3" hidden="1">0.0001</definedName>
    <definedName name="solver_cvg" localSheetId="5" hidden="1">0.0001</definedName>
    <definedName name="solver_drv" localSheetId="1" hidden="1">1</definedName>
    <definedName name="solver_drv" localSheetId="3" hidden="1">1</definedName>
    <definedName name="solver_drv" localSheetId="5" hidden="1">1</definedName>
    <definedName name="solver_eng" localSheetId="1" hidden="1">2</definedName>
    <definedName name="solver_eng" localSheetId="3" hidden="1">2</definedName>
    <definedName name="solver_eng" localSheetId="5" hidden="1">2</definedName>
    <definedName name="solver_est" localSheetId="1" hidden="1">1</definedName>
    <definedName name="solver_est" localSheetId="3" hidden="1">1</definedName>
    <definedName name="solver_est" localSheetId="5" hidden="1">1</definedName>
    <definedName name="solver_itr" localSheetId="1" hidden="1">100</definedName>
    <definedName name="solver_itr" localSheetId="3" hidden="1">100</definedName>
    <definedName name="solver_itr" localSheetId="5" hidden="1">100</definedName>
    <definedName name="solver_lhs1" localSheetId="1" hidden="1">'Вариант 1'!$B$33</definedName>
    <definedName name="solver_lhs1" localSheetId="3" hidden="1">'Вариант 3'!$B$33</definedName>
    <definedName name="solver_lhs1" localSheetId="5" hidden="1">'Вариант 5'!$B$39</definedName>
    <definedName name="solver_lhs2" localSheetId="1" hidden="1">'Вариант 1'!$B$34</definedName>
    <definedName name="solver_lhs2" localSheetId="3" hidden="1">'Вариант 3'!$B$34</definedName>
    <definedName name="solver_lhs2" localSheetId="5" hidden="1">'Вариант 5'!$B$40</definedName>
    <definedName name="solver_lhs3" localSheetId="1" hidden="1">'Вариант 1'!$B$35</definedName>
    <definedName name="solver_lhs3" localSheetId="3" hidden="1">'Вариант 3'!$B$35</definedName>
    <definedName name="solver_lhs3" localSheetId="5" hidden="1">'Вариант 5'!$B$41</definedName>
    <definedName name="solver_lhs4" localSheetId="5" hidden="1">'Вариант 5'!$B$42</definedName>
    <definedName name="solver_lhs5" localSheetId="5" hidden="1">'Вариант 5'!$B$43</definedName>
    <definedName name="solver_mip" localSheetId="1" hidden="1">2147483647</definedName>
    <definedName name="solver_mip" localSheetId="3" hidden="1">2147483647</definedName>
    <definedName name="solver_mip" localSheetId="5" hidden="1">2147483647</definedName>
    <definedName name="solver_mni" localSheetId="1" hidden="1">30</definedName>
    <definedName name="solver_mni" localSheetId="3" hidden="1">30</definedName>
    <definedName name="solver_mni" localSheetId="5" hidden="1">30</definedName>
    <definedName name="solver_mrt" localSheetId="1" hidden="1">0.075</definedName>
    <definedName name="solver_mrt" localSheetId="3" hidden="1">0.075</definedName>
    <definedName name="solver_mrt" localSheetId="5" hidden="1">0.075</definedName>
    <definedName name="solver_msl" localSheetId="1" hidden="1">2</definedName>
    <definedName name="solver_msl" localSheetId="3" hidden="1">2</definedName>
    <definedName name="solver_msl" localSheetId="5" hidden="1">2</definedName>
    <definedName name="solver_neg" localSheetId="1" hidden="1">1</definedName>
    <definedName name="solver_neg" localSheetId="3" hidden="1">1</definedName>
    <definedName name="solver_neg" localSheetId="5" hidden="1">1</definedName>
    <definedName name="solver_nod" localSheetId="1" hidden="1">2147483647</definedName>
    <definedName name="solver_nod" localSheetId="3" hidden="1">2147483647</definedName>
    <definedName name="solver_nod" localSheetId="5" hidden="1">2147483647</definedName>
    <definedName name="solver_num" localSheetId="1" hidden="1">3</definedName>
    <definedName name="solver_num" localSheetId="3" hidden="1">3</definedName>
    <definedName name="solver_num" localSheetId="5" hidden="1">5</definedName>
    <definedName name="solver_nwt" localSheetId="1" hidden="1">1</definedName>
    <definedName name="solver_nwt" localSheetId="3" hidden="1">1</definedName>
    <definedName name="solver_nwt" localSheetId="5" hidden="1">1</definedName>
    <definedName name="solver_opt" localSheetId="1" hidden="1">'Вариант 1'!$B$31</definedName>
    <definedName name="solver_opt" localSheetId="3" hidden="1">'Вариант 3'!$B$31</definedName>
    <definedName name="solver_opt" localSheetId="5" hidden="1">'Вариант 5'!$B$37</definedName>
    <definedName name="solver_pre" localSheetId="1" hidden="1">0.000001</definedName>
    <definedName name="solver_pre" localSheetId="3" hidden="1">0.000001</definedName>
    <definedName name="solver_pre" localSheetId="5" hidden="1">0.000001</definedName>
    <definedName name="solver_rbv" localSheetId="1" hidden="1">1</definedName>
    <definedName name="solver_rbv" localSheetId="3" hidden="1">1</definedName>
    <definedName name="solver_rbv" localSheetId="5" hidden="1">1</definedName>
    <definedName name="solver_rel1" localSheetId="1" hidden="1">1</definedName>
    <definedName name="solver_rel1" localSheetId="3" hidden="1">1</definedName>
    <definedName name="solver_rel1" localSheetId="5" hidden="1">1</definedName>
    <definedName name="solver_rel2" localSheetId="1" hidden="1">1</definedName>
    <definedName name="solver_rel2" localSheetId="3" hidden="1">1</definedName>
    <definedName name="solver_rel2" localSheetId="5" hidden="1">1</definedName>
    <definedName name="solver_rel3" localSheetId="1" hidden="1">1</definedName>
    <definedName name="solver_rel3" localSheetId="3" hidden="1">1</definedName>
    <definedName name="solver_rel3" localSheetId="5" hidden="1">1</definedName>
    <definedName name="solver_rel4" localSheetId="5" hidden="1">1</definedName>
    <definedName name="solver_rel5" localSheetId="5" hidden="1">1</definedName>
    <definedName name="solver_rhs1" localSheetId="1" hidden="1">'Вариант 1'!$D$33</definedName>
    <definedName name="solver_rhs1" localSheetId="3" hidden="1">'Вариант 3'!$D$33</definedName>
    <definedName name="solver_rhs1" localSheetId="5" hidden="1">'Вариант 5'!$D$39</definedName>
    <definedName name="solver_rhs2" localSheetId="1" hidden="1">'Вариант 1'!$D$34</definedName>
    <definedName name="solver_rhs2" localSheetId="3" hidden="1">'Вариант 3'!$D$34</definedName>
    <definedName name="solver_rhs2" localSheetId="5" hidden="1">'Вариант 5'!$D$40</definedName>
    <definedName name="solver_rhs3" localSheetId="1" hidden="1">'Вариант 1'!$D$35</definedName>
    <definedName name="solver_rhs3" localSheetId="3" hidden="1">'Вариант 3'!$D$35</definedName>
    <definedName name="solver_rhs3" localSheetId="5" hidden="1">'Вариант 5'!$D$41</definedName>
    <definedName name="solver_rhs4" localSheetId="5" hidden="1">'Вариант 5'!$D$42</definedName>
    <definedName name="solver_rhs5" localSheetId="5" hidden="1">'Вариант 5'!$D$43</definedName>
    <definedName name="solver_rlx" localSheetId="1" hidden="1">2</definedName>
    <definedName name="solver_rlx" localSheetId="3" hidden="1">2</definedName>
    <definedName name="solver_rlx" localSheetId="5" hidden="1">2</definedName>
    <definedName name="solver_rsd" localSheetId="1" hidden="1">0</definedName>
    <definedName name="solver_rsd" localSheetId="3" hidden="1">0</definedName>
    <definedName name="solver_rsd" localSheetId="5" hidden="1">0</definedName>
    <definedName name="solver_scl" localSheetId="1" hidden="1">1</definedName>
    <definedName name="solver_scl" localSheetId="3" hidden="1">2</definedName>
    <definedName name="solver_scl" localSheetId="5" hidden="1">1</definedName>
    <definedName name="solver_sho" localSheetId="1" hidden="1">2</definedName>
    <definedName name="solver_sho" localSheetId="3" hidden="1">2</definedName>
    <definedName name="solver_sho" localSheetId="5" hidden="1">2</definedName>
    <definedName name="solver_ssz" localSheetId="1" hidden="1">100</definedName>
    <definedName name="solver_ssz" localSheetId="3" hidden="1">100</definedName>
    <definedName name="solver_ssz" localSheetId="5" hidden="1">100</definedName>
    <definedName name="solver_tim" localSheetId="1" hidden="1">100</definedName>
    <definedName name="solver_tim" localSheetId="3" hidden="1">100</definedName>
    <definedName name="solver_tim" localSheetId="5" hidden="1">100</definedName>
    <definedName name="solver_tol" localSheetId="1" hidden="1">0.01</definedName>
    <definedName name="solver_tol" localSheetId="3" hidden="1">0.01</definedName>
    <definedName name="solver_tol" localSheetId="5" hidden="1">0.01</definedName>
    <definedName name="solver_typ" localSheetId="1" hidden="1">1</definedName>
    <definedName name="solver_typ" localSheetId="3" hidden="1">1</definedName>
    <definedName name="solver_typ" localSheetId="5" hidden="1">1</definedName>
    <definedName name="solver_val" localSheetId="1" hidden="1">0</definedName>
    <definedName name="solver_val" localSheetId="3" hidden="1">0</definedName>
    <definedName name="solver_val" localSheetId="5" hidden="1">0</definedName>
    <definedName name="solver_ver" localSheetId="1" hidden="1">3</definedName>
    <definedName name="solver_ver" localSheetId="3" hidden="1">3</definedName>
    <definedName name="solver_ver" localSheetId="5" hidden="1">3</definedName>
  </definedNames>
  <calcPr calcId="191029" calcMode="manual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B43" i="3"/>
  <c r="B42" i="3"/>
  <c r="B41" i="3"/>
  <c r="B40" i="3"/>
  <c r="B39" i="3"/>
  <c r="B37" i="3"/>
  <c r="B35" i="2"/>
  <c r="B34" i="2"/>
  <c r="B33" i="2"/>
  <c r="B35" i="1"/>
  <c r="B34" i="1"/>
  <c r="B33" i="1"/>
  <c r="B31" i="1"/>
</calcChain>
</file>

<file path=xl/sharedStrings.xml><?xml version="1.0" encoding="utf-8"?>
<sst xmlns="http://schemas.openxmlformats.org/spreadsheetml/2006/main" count="299" uniqueCount="132">
  <si>
    <t>Практическая работа №3. Вариант 1</t>
  </si>
  <si>
    <t>1. Постановка задачи</t>
  </si>
  <si>
    <t>Пищевой производственный комбинат располагает 3 видами ресурсов: концентрат 1 (К1) объёмом 100 ед., концентрат 2 (К2) объёмом 150 ед. и вода (В) объёмом 300 ед. Существует 3 технологии производства напитков. Напиток1 = 5 ед. К1 + 2 ед. К2 + 9 ед. В (цена 30 ед.). Напиток2 = 2 ед. К1 + 6 ед. К2 + 12 ед. В (цена 36 ед.). Напиток3 = 3 ед. К1 + 3 ед. К2 + 8 ед. В (цена 27 ед.). Требуется определить наиболее выгодное сочетание технологических процессов для максимизации прибыли.</t>
  </si>
  <si>
    <t>2. Исходные данные</t>
  </si>
  <si>
    <t>Ресурсы</t>
  </si>
  <si>
    <t>Напиток 1 (x₁)</t>
  </si>
  <si>
    <t>Напиток 2 (x₂)</t>
  </si>
  <si>
    <t>Напиток 3 (x₃)</t>
  </si>
  <si>
    <t>Запасы</t>
  </si>
  <si>
    <t>Концентрат 1 (К1)</t>
  </si>
  <si>
    <t>Концентрат 2 (К2)</t>
  </si>
  <si>
    <t>Вода (В)</t>
  </si>
  <si>
    <t>Прибыль</t>
  </si>
  <si>
    <t>3. Математическая модель</t>
  </si>
  <si>
    <t>F(x₁,x₂,x₃) = 30·x₁ + 36·x₂ + 27·x₃ → max</t>
  </si>
  <si>
    <t>5·x₁ + 2·x₂ + 3·x₃ ≤ 100  (К1)</t>
  </si>
  <si>
    <t>2·x₁ + 6·x₂ + 3·x₃ ≤ 150  (К2)</t>
  </si>
  <si>
    <t>9·x₁ + 12·x₂ + 8·x₃ ≤ 300  (В)</t>
  </si>
  <si>
    <t>x₁ ≥ 0,  x₂ ≥ 0,  x₃ ≥ 0</t>
  </si>
  <si>
    <t>4. Расчёты (Поиск решения MS Excel)</t>
  </si>
  <si>
    <t>Таблица в режиме чисел</t>
  </si>
  <si>
    <t>План</t>
  </si>
  <si>
    <t>Функция цели</t>
  </si>
  <si>
    <t>Ограничения</t>
  </si>
  <si>
    <t>≤</t>
  </si>
  <si>
    <t>5. Выводы</t>
  </si>
  <si>
    <t>Оптимальный план: x₁ = 0, x₂ = 5, x₃ = 30. Для получения максимальной прибыли в размере 990 ед. необходимо произвести 5 ед. Напитка 2 и 30 ед. Напитка 3. Напиток 1 производить не следует. При этом концентрат 1 и вода используются полностью (100 и 300 ед.), концентрат 2 — частично (120 из 150 ед.).</t>
  </si>
  <si>
    <t>Практическая работа №3. Вариант 3</t>
  </si>
  <si>
    <t>Мебельная фабрика располагает тремя видами древесины: вид «А» — 100 ед., вид «В» — 160 ед., вид «С» — 130 ед. Три технологии изготовления стульев: I (4А + 5В → 5 стульев С1, цена 1600 руб.), II (3А + 7С → 6 стульев С2, цена 1100 руб.), III (8В + 3С → 9 стульев С3, цена 700 руб.). x₁, x₂, x₃ — число циклов каждой технологии. Прибыль за цикл: I → 8000 руб., II → 6600 руб., III → 6300 руб.</t>
  </si>
  <si>
    <t>Технология I (x₁)</t>
  </si>
  <si>
    <t>Технология II (x₂)</t>
  </si>
  <si>
    <t>Технология III (x₃)</t>
  </si>
  <si>
    <t>Древесина А</t>
  </si>
  <si>
    <t>Древесина В</t>
  </si>
  <si>
    <t>Древесина С</t>
  </si>
  <si>
    <t>F(x₁,x₂,x₃) = 8000·x₁ + 6600·x₂ + 6300·x₃ → max</t>
  </si>
  <si>
    <t>4·x₁ + 3·x₂ ≤ 100  (древесина А)</t>
  </si>
  <si>
    <t>5·x₁ + 8·x₃ ≤ 160  (древесина В)</t>
  </si>
  <si>
    <t>7·x₂ + 3·x₃ ≤ 130  (древесина С)</t>
  </si>
  <si>
    <t>Оптимальный план: x₁ ≈ 14.57, x₂ ≈ 13.90, x₃ ≈ 10.89. Максимальная прибыль составит ≈ 276 963 руб. Все три технологии задействованы, все ресурсы древесины используются полностью (100, 160 и 130 ед.).</t>
  </si>
  <si>
    <t>Практическая работа №3. Вариант 5</t>
  </si>
  <si>
    <t>Заводчик животных имеет: 4 кота и 6 кошек породы А, 6 котов и 4 кошки породы В. 4 варианта разведения: 1) А1+А2 → 5 КА (по 2000 руб.); 2) В1+В2 → 4 КВ (по 2300 руб.); 3) А1+В2 → 7 КАВ (по 1500 руб.); 4) В1+А2 → 6 КВА (по 1600 руб.). Места для 50 котят. Прибыль за цикл: вар.1 → 10000, вар.2 → 9200, вар.3 → 10500, вар.4 → 9600 руб.</t>
  </si>
  <si>
    <t>Вар.1 А×А (x₁)</t>
  </si>
  <si>
    <t>Вар.2 В×В (x₂)</t>
  </si>
  <si>
    <t>Вар.3 А×В (x₃)</t>
  </si>
  <si>
    <t>Вар.4 В×А (x₄)</t>
  </si>
  <si>
    <t>Коты А (А1)</t>
  </si>
  <si>
    <t>Кошки А (А2)</t>
  </si>
  <si>
    <t>Коты В (В1)</t>
  </si>
  <si>
    <t>Кошки В (В2)</t>
  </si>
  <si>
    <t>Места для котят</t>
  </si>
  <si>
    <t>F(x₁,x₂,x₃,x₄) = 10000·x₁ + 9200·x₂ + 10500·x₃ + 9600·x₄ → max</t>
  </si>
  <si>
    <t>x₁ + x₃ ≤ 4  (коты породы А)</t>
  </si>
  <si>
    <t>x₁ + x₄ ≤ 6  (кошки породы А)</t>
  </si>
  <si>
    <t>x₂ + x₄ ≤ 6  (коты породы В)</t>
  </si>
  <si>
    <t>x₂ + x₃ ≤ 4  (кошки породы В)</t>
  </si>
  <si>
    <t>5·x₁ + 4·x₂ + 7·x₃ + 6·x₄ ≤ 50  (места)</t>
  </si>
  <si>
    <t>x₁, x₂, x₃, x₄ ≥ 0</t>
  </si>
  <si>
    <t>Оптимальный план: x₁ = 3.5, x₂ = 3.5, x₃ = 0.5, x₄ = 2.5. Максимальная прибыль — 96 450 руб. Все ресурсы (животные и места) используются полностью.</t>
  </si>
  <si>
    <t>Microsoft Excel 16.0 Отчет о результатах</t>
  </si>
  <si>
    <t>Лист: [ПР3_Задачи_ЛП_Рослов (2).xlsx]Вариант 3</t>
  </si>
  <si>
    <t>Отчет создан: 12.04.2026 23:39:46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</si>
  <si>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</si>
  <si>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</si>
  <si>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</si>
  <si>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0,031 секунд.</t>
  </si>
  <si>
    <t>Число итераций: 3 Число подзадач: 0</t>
  </si>
  <si>
    <t>Параметры поиска решения</t>
  </si>
  <si>
    <t>Максимальное время 100 с,  Число итераций 100, Precision 0,000001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</si>
  <si>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</si>
  <si>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</si>
  <si>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</si>
  <si>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</si>
  <si>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</si>
  <si>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</si>
  <si>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</si>
  <si>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</si>
  <si>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Значение ячейки</t>
  </si>
  <si>
    <t>Формула</t>
  </si>
  <si>
    <t>Состояние</t>
  </si>
  <si>
    <t>Допуск</t>
  </si>
  <si>
    <t>$B$31</t>
  </si>
  <si>
    <t>Функция цели Технология I (x₁)</t>
  </si>
  <si>
    <t>$B$30</t>
  </si>
  <si>
    <t>План Технология I (x₁)</t>
  </si>
  <si>
    <t>Продолжить</t>
  </si>
  <si>
    <t>$C$30</t>
  </si>
  <si>
    <t>План Технология II (x₂)</t>
  </si>
  <si>
    <t>$D$30</t>
  </si>
  <si>
    <t>План Технология III (x₃)</t>
  </si>
  <si>
    <t>$B$33</t>
  </si>
  <si>
    <t>Ограничения Технология I (x₁)</t>
  </si>
  <si>
    <t>$B$33&lt;=$D$33</t>
  </si>
  <si>
    <t>Привязка</t>
  </si>
  <si>
    <t>$B$34</t>
  </si>
  <si>
    <t>$B$34&lt;=$D$34</t>
  </si>
  <si>
    <t>$B$35</t>
  </si>
  <si>
    <t>$B$35&lt;=$D$35</t>
  </si>
  <si>
    <t>Лист: [ПР3_Задачи_ЛП_Рослов (2).xlsx]Вариант 1</t>
  </si>
  <si>
    <t>Отчет создан: 12.04.2026 23:44:24</t>
  </si>
  <si>
    <t>Время решения: 0,047 секунд.</t>
  </si>
  <si>
    <t>Число итераций: 4 Число подзадач: 0</t>
  </si>
  <si>
    <t>Максимальное время 100 с,  Число итераций 100, Precision 0,000001, Использовать автоматическое масштабирование</t>
  </si>
  <si>
    <t>Функция цели Напиток 1 (x₁)</t>
  </si>
  <si>
    <t>План Напиток 1 (x₁)</t>
  </si>
  <si>
    <t>План Напиток 2 (x₂)</t>
  </si>
  <si>
    <t>План Напиток 3 (x₃)</t>
  </si>
  <si>
    <t>Ограничения Напиток 1 (x₁)</t>
  </si>
  <si>
    <t>Без привязки</t>
  </si>
  <si>
    <t>Лист: [ПР3_Задачи_ЛП_Рослов (2).xlsx]Вариант 5</t>
  </si>
  <si>
    <t>Отчет создан: 12.04.2026 23:49:32</t>
  </si>
  <si>
    <t>$B$37</t>
  </si>
  <si>
    <t>Функция цели Вар.1 А×А (x₁)</t>
  </si>
  <si>
    <t>$B$36</t>
  </si>
  <si>
    <t>План Вар.1 А×А (x₁)</t>
  </si>
  <si>
    <t>$C$36</t>
  </si>
  <si>
    <t>План Вар.2 В×В (x₂)</t>
  </si>
  <si>
    <t>$D$36</t>
  </si>
  <si>
    <t>План Вар.3 А×В (x₃)</t>
  </si>
  <si>
    <t>$E$36</t>
  </si>
  <si>
    <t>План Вар.4 В×А (x₄)</t>
  </si>
  <si>
    <t>$B$39</t>
  </si>
  <si>
    <t>Ограничения Вар.1 А×А (x₁)</t>
  </si>
  <si>
    <t>$B$39&lt;=$D$39</t>
  </si>
  <si>
    <t>$B$40</t>
  </si>
  <si>
    <t>$B$40&lt;=$D$40</t>
  </si>
  <si>
    <t>$B$41</t>
  </si>
  <si>
    <t>$B$41&lt;=$D$41</t>
  </si>
  <si>
    <t>$B$42</t>
  </si>
  <si>
    <t>$B$42&lt;=$D$42</t>
  </si>
  <si>
    <t>$B$43</t>
  </si>
  <si>
    <t>$B$43&lt;=$D$43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</si>
</sst>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"/>
  </numFmts>
  <fonts count="12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2F5496"/>
      <name val="Calibri"/>
    </font>
    <font>
      <sz val="10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i/>
      <sz val="11"/>
      <name val="Calibri"/>
    </font>
    <font>
      <b/>
      <sz val="12"/>
      <name val="Calibri"/>
    </font>
    <font>
      <i/>
      <sz val="10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92D050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0" fillId="0" borderId="3" xfId="0" applyFill="1" applyBorder="1" applyAlignment="1"/>
    <xf numFmtId="0" fontId="11" fillId="0" borderId="2" xfId="0" applyFont="1" applyFill="1" applyBorder="1" applyAlignment="1">
      <alignment horizontal="center"/>
    </xf>
    <xf numFmtId="0" fontId="0" fillId="0" borderId="4" xfId="0" applyFill="1" applyBorder="1" applyAlignment="1"/>
    <xf numFmtId="2" fontId="0" fillId="0" borderId="3" xfId="0" applyNumberFormat="1" applyFill="1" applyBorder="1" applyAlignment="1"/>
    <xf numFmtId="164" fontId="0" fillId="0" borderId="4" xfId="0" applyNumberFormat="1" applyFill="1" applyBorder="1" applyAlignment="1"/>
    <xf numFmtId="164" fontId="0" fillId="0" borderId="3" xfId="0" applyNumberFormat="1" applyFill="1" applyBorder="1" applyAlignment="1"/>
    <xf numFmtId="2" fontId="0" fillId="0" borderId="4" xfId="0" applyNumberFormat="1" applyFill="1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FD91-5F17-4D3B-B6EC-86EAC65DC616}">
  <dimension ref="A1:G30"/>
  <sheetViews>
    <sheetView showGridLines="0" workbookViewId="0"/>
  </sheetViews>
  <sheetFormatPr defaultRowHeight="15" x14ac:dyDescent="0.25"/>
  <cols>
    <col min="1" max="1" width="2.28515625" customWidth="1"/>
    <col min="2" max="2" width="7.5703125" bestFit="1" customWidth="1"/>
    <col min="3" max="3" width="27.28515625" bestFit="1" customWidth="1"/>
    <col min="4" max="4" width="19.42578125" bestFit="1" customWidth="1"/>
    <col min="5" max="5" width="24.7109375" bestFit="1" customWidth="1"/>
    <col min="6" max="6" width="15.85546875" bestFit="1" customWidth="1"/>
    <col min="7" max="7" width="7.5703125" bestFit="1" customWidth="1"/>
  </cols>
  <sheetData>
    <row r="1" spans="1:5" x14ac:dyDescent="0.25">
      <c r="A1" s="19" t="s">
        <v>59</v>
      </c>
    </row>
    <row r="2" spans="1:5" x14ac:dyDescent="0.25">
      <c r="A2" s="19" t="s">
        <v>98</v>
      </c>
    </row>
    <row r="3" spans="1:5" x14ac:dyDescent="0.25">
      <c r="A3" s="19" t="s">
        <v>99</v>
      </c>
    </row>
    <row r="4" spans="1:5" x14ac:dyDescent="0.25">
      <c r="A4" s="19" t="s">
        <v>62</v>
      </c>
    </row>
    <row r="5" spans="1:5" x14ac:dyDescent="0.25">
      <c r="A5" s="19" t="s">
        <v>63</v>
      </c>
    </row>
    <row r="6" spans="1:5" x14ac:dyDescent="0.25">
      <c r="A6" s="19"/>
      <c r="B6" t="s">
        <v>64</v>
      </c>
    </row>
    <row r="7" spans="1:5" x14ac:dyDescent="0.25">
      <c r="A7" s="19"/>
      <c r="B7" t="s">
        <v>100</v>
      </c>
    </row>
    <row r="8" spans="1:5" x14ac:dyDescent="0.25">
      <c r="A8" s="19"/>
      <c r="B8" t="s">
        <v>101</v>
      </c>
    </row>
    <row r="9" spans="1:5" x14ac:dyDescent="0.25">
      <c r="A9" s="19" t="s">
        <v>67</v>
      </c>
    </row>
    <row r="10" spans="1:5" x14ac:dyDescent="0.25">
      <c r="B10" t="s">
        <v>102</v>
      </c>
    </row>
    <row r="11" spans="1:5" x14ac:dyDescent="0.25">
      <c r="B11" t="s">
        <v>69</v>
      </c>
    </row>
    <row r="14" spans="1:5" ht="15.75" thickBot="1" x14ac:dyDescent="0.3">
      <c r="A14" t="s">
        <v>70</v>
      </c>
    </row>
    <row r="15" spans="1:5" ht="15.75" thickBot="1" x14ac:dyDescent="0.3">
      <c r="B15" s="21" t="s">
        <v>71</v>
      </c>
      <c r="C15" s="21" t="s">
        <v>72</v>
      </c>
      <c r="D15" s="21" t="s">
        <v>73</v>
      </c>
      <c r="E15" s="21" t="s">
        <v>74</v>
      </c>
    </row>
    <row r="16" spans="1:5" ht="15.75" thickBot="1" x14ac:dyDescent="0.3">
      <c r="B16" s="20" t="s">
        <v>81</v>
      </c>
      <c r="C16" s="20" t="s">
        <v>103</v>
      </c>
      <c r="D16" s="23">
        <v>990</v>
      </c>
      <c r="E16" s="23">
        <v>990</v>
      </c>
    </row>
    <row r="19" spans="1:7" ht="15.75" thickBot="1" x14ac:dyDescent="0.3">
      <c r="A19" t="s">
        <v>75</v>
      </c>
    </row>
    <row r="20" spans="1:7" ht="15.75" thickBot="1" x14ac:dyDescent="0.3">
      <c r="B20" s="21" t="s">
        <v>71</v>
      </c>
      <c r="C20" s="21" t="s">
        <v>72</v>
      </c>
      <c r="D20" s="21" t="s">
        <v>73</v>
      </c>
      <c r="E20" s="21" t="s">
        <v>74</v>
      </c>
      <c r="F20" s="21" t="s">
        <v>76</v>
      </c>
    </row>
    <row r="21" spans="1:7" x14ac:dyDescent="0.25">
      <c r="B21" s="22" t="s">
        <v>83</v>
      </c>
      <c r="C21" s="22" t="s">
        <v>104</v>
      </c>
      <c r="D21" s="24">
        <v>0</v>
      </c>
      <c r="E21" s="24">
        <v>0</v>
      </c>
      <c r="F21" s="22" t="s">
        <v>85</v>
      </c>
    </row>
    <row r="22" spans="1:7" x14ac:dyDescent="0.25">
      <c r="B22" s="22" t="s">
        <v>86</v>
      </c>
      <c r="C22" s="22" t="s">
        <v>105</v>
      </c>
      <c r="D22" s="24">
        <v>5</v>
      </c>
      <c r="E22" s="24">
        <v>5</v>
      </c>
      <c r="F22" s="22" t="s">
        <v>85</v>
      </c>
    </row>
    <row r="23" spans="1:7" ht="15.75" thickBot="1" x14ac:dyDescent="0.3">
      <c r="B23" s="20" t="s">
        <v>88</v>
      </c>
      <c r="C23" s="20" t="s">
        <v>106</v>
      </c>
      <c r="D23" s="25">
        <v>30</v>
      </c>
      <c r="E23" s="25">
        <v>30</v>
      </c>
      <c r="F23" s="20" t="s">
        <v>85</v>
      </c>
    </row>
    <row r="26" spans="1:7" ht="15.75" thickBot="1" x14ac:dyDescent="0.3">
      <c r="A26" t="s">
        <v>23</v>
      </c>
    </row>
    <row r="27" spans="1:7" ht="15.75" thickBot="1" x14ac:dyDescent="0.3">
      <c r="B27" s="21" t="s">
        <v>71</v>
      </c>
      <c r="C27" s="21" t="s">
        <v>72</v>
      </c>
      <c r="D27" s="21" t="s">
        <v>77</v>
      </c>
      <c r="E27" s="21" t="s">
        <v>78</v>
      </c>
      <c r="F27" s="21" t="s">
        <v>79</v>
      </c>
      <c r="G27" s="21" t="s">
        <v>80</v>
      </c>
    </row>
    <row r="28" spans="1:7" x14ac:dyDescent="0.25">
      <c r="B28" s="22" t="s">
        <v>90</v>
      </c>
      <c r="C28" s="22" t="s">
        <v>107</v>
      </c>
      <c r="D28" s="26">
        <v>100</v>
      </c>
      <c r="E28" s="22" t="s">
        <v>92</v>
      </c>
      <c r="F28" s="22" t="s">
        <v>93</v>
      </c>
      <c r="G28" s="22">
        <v>0</v>
      </c>
    </row>
    <row r="29" spans="1:7" x14ac:dyDescent="0.25">
      <c r="B29" s="22" t="s">
        <v>94</v>
      </c>
      <c r="C29" s="22" t="s">
        <v>107</v>
      </c>
      <c r="D29" s="26">
        <v>120</v>
      </c>
      <c r="E29" s="22" t="s">
        <v>95</v>
      </c>
      <c r="F29" s="22" t="s">
        <v>108</v>
      </c>
      <c r="G29" s="22">
        <v>30</v>
      </c>
    </row>
    <row r="30" spans="1:7" ht="15.75" thickBot="1" x14ac:dyDescent="0.3">
      <c r="B30" s="20" t="s">
        <v>96</v>
      </c>
      <c r="C30" s="20" t="s">
        <v>107</v>
      </c>
      <c r="D30" s="23">
        <v>300</v>
      </c>
      <c r="E30" s="20" t="s">
        <v>97</v>
      </c>
      <c r="F30" s="20" t="s">
        <v>93</v>
      </c>
      <c r="G30" s="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22" workbookViewId="0">
      <selection activeCell="C45" sqref="C45"/>
    </sheetView>
  </sheetViews>
  <sheetFormatPr defaultRowHeight="15" x14ac:dyDescent="0.25"/>
  <cols>
    <col min="1" max="1" width="24" customWidth="1"/>
    <col min="2" max="4" width="16" customWidth="1"/>
    <col min="5" max="5" width="14" customWidth="1"/>
    <col min="6" max="6" width="6" customWidth="1"/>
    <col min="7" max="7" width="14" customWidth="1"/>
  </cols>
  <sheetData>
    <row r="1" spans="1:5" ht="18.75" x14ac:dyDescent="0.3">
      <c r="A1" s="16" t="s">
        <v>0</v>
      </c>
      <c r="B1" s="12"/>
      <c r="C1" s="12"/>
      <c r="D1" s="12"/>
      <c r="E1" s="12"/>
    </row>
    <row r="3" spans="1:5" ht="15.75" x14ac:dyDescent="0.25">
      <c r="A3" s="11" t="s">
        <v>1</v>
      </c>
      <c r="B3" s="12"/>
      <c r="C3" s="12"/>
      <c r="D3" s="12"/>
      <c r="E3" s="12"/>
    </row>
    <row r="4" spans="1:5" ht="50.1" customHeight="1" x14ac:dyDescent="0.25">
      <c r="A4" s="13" t="s">
        <v>2</v>
      </c>
      <c r="B4" s="12"/>
      <c r="C4" s="12"/>
      <c r="D4" s="12"/>
      <c r="E4" s="12"/>
    </row>
    <row r="5" spans="1:5" x14ac:dyDescent="0.25">
      <c r="A5" s="12"/>
      <c r="B5" s="12"/>
      <c r="C5" s="12"/>
      <c r="D5" s="12"/>
      <c r="E5" s="12"/>
    </row>
    <row r="7" spans="1:5" ht="15.75" x14ac:dyDescent="0.25">
      <c r="A7" s="11" t="s">
        <v>3</v>
      </c>
      <c r="B7" s="12"/>
      <c r="C7" s="12"/>
      <c r="D7" s="12"/>
      <c r="E7" s="12"/>
    </row>
    <row r="8" spans="1:5" x14ac:dyDescent="0.2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</row>
    <row r="9" spans="1:5" x14ac:dyDescent="0.25">
      <c r="A9" s="2" t="s">
        <v>9</v>
      </c>
      <c r="B9" s="3">
        <v>5</v>
      </c>
      <c r="C9" s="3">
        <v>2</v>
      </c>
      <c r="D9" s="3">
        <v>3</v>
      </c>
      <c r="E9" s="3">
        <v>100</v>
      </c>
    </row>
    <row r="10" spans="1:5" x14ac:dyDescent="0.25">
      <c r="A10" s="2" t="s">
        <v>10</v>
      </c>
      <c r="B10" s="3">
        <v>2</v>
      </c>
      <c r="C10" s="3">
        <v>6</v>
      </c>
      <c r="D10" s="3">
        <v>3</v>
      </c>
      <c r="E10" s="3">
        <v>150</v>
      </c>
    </row>
    <row r="11" spans="1:5" x14ac:dyDescent="0.25">
      <c r="A11" s="2" t="s">
        <v>11</v>
      </c>
      <c r="B11" s="3">
        <v>9</v>
      </c>
      <c r="C11" s="3">
        <v>12</v>
      </c>
      <c r="D11" s="3">
        <v>8</v>
      </c>
      <c r="E11" s="3">
        <v>300</v>
      </c>
    </row>
    <row r="12" spans="1:5" x14ac:dyDescent="0.25">
      <c r="A12" s="2" t="s">
        <v>12</v>
      </c>
      <c r="B12" s="2">
        <v>30</v>
      </c>
      <c r="C12" s="2">
        <v>36</v>
      </c>
      <c r="D12" s="2">
        <v>27</v>
      </c>
      <c r="E12" s="3"/>
    </row>
    <row r="14" spans="1:5" ht="15.75" x14ac:dyDescent="0.25">
      <c r="A14" s="11" t="s">
        <v>13</v>
      </c>
      <c r="B14" s="12"/>
      <c r="C14" s="12"/>
      <c r="D14" s="12"/>
      <c r="E14" s="12"/>
    </row>
    <row r="15" spans="1:5" x14ac:dyDescent="0.25">
      <c r="A15" s="14" t="s">
        <v>14</v>
      </c>
      <c r="B15" s="12"/>
      <c r="C15" s="12"/>
      <c r="D15" s="12"/>
      <c r="E15" s="12"/>
    </row>
    <row r="16" spans="1:5" x14ac:dyDescent="0.25">
      <c r="A16" s="14" t="s">
        <v>15</v>
      </c>
      <c r="B16" s="12"/>
      <c r="C16" s="12"/>
      <c r="D16" s="12"/>
      <c r="E16" s="12"/>
    </row>
    <row r="17" spans="1:5" x14ac:dyDescent="0.25">
      <c r="A17" s="14" t="s">
        <v>16</v>
      </c>
      <c r="B17" s="12"/>
      <c r="C17" s="12"/>
      <c r="D17" s="12"/>
      <c r="E17" s="12"/>
    </row>
    <row r="18" spans="1:5" x14ac:dyDescent="0.25">
      <c r="A18" s="14" t="s">
        <v>17</v>
      </c>
      <c r="B18" s="12"/>
      <c r="C18" s="12"/>
      <c r="D18" s="12"/>
      <c r="E18" s="12"/>
    </row>
    <row r="19" spans="1:5" x14ac:dyDescent="0.25">
      <c r="A19" s="14" t="s">
        <v>18</v>
      </c>
      <c r="B19" s="12"/>
      <c r="C19" s="12"/>
      <c r="D19" s="12"/>
      <c r="E19" s="12"/>
    </row>
    <row r="21" spans="1:5" ht="15.75" x14ac:dyDescent="0.25">
      <c r="A21" s="11" t="s">
        <v>19</v>
      </c>
      <c r="B21" s="12"/>
      <c r="C21" s="12"/>
      <c r="D21" s="12"/>
      <c r="E21" s="12"/>
    </row>
    <row r="22" spans="1:5" x14ac:dyDescent="0.25">
      <c r="A22" s="17" t="s">
        <v>20</v>
      </c>
      <c r="B22" s="12"/>
      <c r="C22" s="12"/>
      <c r="D22" s="12"/>
      <c r="E22" s="12"/>
    </row>
    <row r="23" spans="1:5" x14ac:dyDescent="0.25">
      <c r="A23" s="1" t="s">
        <v>4</v>
      </c>
      <c r="B23" s="1" t="s">
        <v>5</v>
      </c>
      <c r="C23" s="1" t="s">
        <v>6</v>
      </c>
      <c r="D23" s="1" t="s">
        <v>7</v>
      </c>
      <c r="E23" s="1" t="s">
        <v>8</v>
      </c>
    </row>
    <row r="24" spans="1:5" x14ac:dyDescent="0.25">
      <c r="A24" s="2" t="s">
        <v>9</v>
      </c>
      <c r="B24" s="3">
        <v>5</v>
      </c>
      <c r="C24" s="3">
        <v>2</v>
      </c>
      <c r="D24" s="3">
        <v>3</v>
      </c>
      <c r="E24" s="3">
        <v>100</v>
      </c>
    </row>
    <row r="25" spans="1:5" x14ac:dyDescent="0.25">
      <c r="A25" s="2" t="s">
        <v>10</v>
      </c>
      <c r="B25" s="3">
        <v>2</v>
      </c>
      <c r="C25" s="3">
        <v>6</v>
      </c>
      <c r="D25" s="3">
        <v>3</v>
      </c>
      <c r="E25" s="3">
        <v>150</v>
      </c>
    </row>
    <row r="26" spans="1:5" x14ac:dyDescent="0.25">
      <c r="A26" s="2" t="s">
        <v>11</v>
      </c>
      <c r="B26" s="3">
        <v>9</v>
      </c>
      <c r="C26" s="3">
        <v>12</v>
      </c>
      <c r="D26" s="3">
        <v>8</v>
      </c>
      <c r="E26" s="3">
        <v>300</v>
      </c>
    </row>
    <row r="27" spans="1:5" x14ac:dyDescent="0.25">
      <c r="A27" s="2" t="s">
        <v>12</v>
      </c>
      <c r="B27" s="2">
        <v>30</v>
      </c>
      <c r="C27" s="2">
        <v>36</v>
      </c>
      <c r="D27" s="2">
        <v>27</v>
      </c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ht="15.75" x14ac:dyDescent="0.25">
      <c r="A30" s="4" t="s">
        <v>21</v>
      </c>
      <c r="B30" s="5">
        <v>0</v>
      </c>
      <c r="C30" s="5">
        <v>5</v>
      </c>
      <c r="D30" s="5">
        <v>30</v>
      </c>
      <c r="E30" s="6"/>
    </row>
    <row r="31" spans="1:5" ht="15.75" x14ac:dyDescent="0.25">
      <c r="A31" s="7" t="s">
        <v>22</v>
      </c>
      <c r="B31" s="8">
        <f>SUMPRODUCT(B27:D27,B30:D30)</f>
        <v>990</v>
      </c>
      <c r="C31" s="9"/>
      <c r="D31" s="9"/>
      <c r="E31" s="9"/>
    </row>
    <row r="32" spans="1:5" x14ac:dyDescent="0.25">
      <c r="A32" s="3"/>
      <c r="B32" s="3"/>
      <c r="C32" s="3"/>
      <c r="D32" s="3"/>
      <c r="E32" s="3"/>
    </row>
    <row r="33" spans="1:5" x14ac:dyDescent="0.25">
      <c r="A33" s="2" t="s">
        <v>23</v>
      </c>
      <c r="B33" s="10">
        <f>SUMPRODUCT(B24:D24,B30:D30)</f>
        <v>100</v>
      </c>
      <c r="C33" s="2" t="s">
        <v>24</v>
      </c>
      <c r="D33" s="3">
        <v>100</v>
      </c>
      <c r="E33" s="3"/>
    </row>
    <row r="34" spans="1:5" x14ac:dyDescent="0.25">
      <c r="A34" s="2" t="s">
        <v>23</v>
      </c>
      <c r="B34" s="10">
        <f>SUMPRODUCT(B25:D25,B30:D30)</f>
        <v>120</v>
      </c>
      <c r="C34" s="2" t="s">
        <v>24</v>
      </c>
      <c r="D34" s="3">
        <v>150</v>
      </c>
      <c r="E34" s="3"/>
    </row>
    <row r="35" spans="1:5" x14ac:dyDescent="0.25">
      <c r="A35" s="2" t="s">
        <v>23</v>
      </c>
      <c r="B35" s="10">
        <f>SUMPRODUCT(B26:D26,B30:D30)</f>
        <v>300</v>
      </c>
      <c r="C35" s="2" t="s">
        <v>24</v>
      </c>
      <c r="D35" s="3">
        <v>300</v>
      </c>
      <c r="E35" s="3"/>
    </row>
    <row r="39" spans="1:5" ht="15.75" x14ac:dyDescent="0.25">
      <c r="A39" s="11" t="s">
        <v>25</v>
      </c>
      <c r="B39" s="12"/>
      <c r="C39" s="12"/>
      <c r="D39" s="12"/>
      <c r="E39" s="12"/>
    </row>
    <row r="40" spans="1:5" ht="60" customHeight="1" x14ac:dyDescent="0.25">
      <c r="A40" s="15" t="s">
        <v>26</v>
      </c>
      <c r="B40" s="12"/>
      <c r="C40" s="12"/>
      <c r="D40" s="12"/>
      <c r="E40" s="12"/>
    </row>
    <row r="41" spans="1:5" x14ac:dyDescent="0.25">
      <c r="A41" s="12"/>
      <c r="B41" s="12"/>
      <c r="C41" s="12"/>
      <c r="D41" s="12"/>
      <c r="E41" s="12"/>
    </row>
  </sheetData>
  <mergeCells count="14">
    <mergeCell ref="A40:E41"/>
    <mergeCell ref="A19:E19"/>
    <mergeCell ref="A1:E1"/>
    <mergeCell ref="A14:E14"/>
    <mergeCell ref="A22:E22"/>
    <mergeCell ref="A17:E17"/>
    <mergeCell ref="A18:E18"/>
    <mergeCell ref="A3:E3"/>
    <mergeCell ref="A21:E21"/>
    <mergeCell ref="A39:E39"/>
    <mergeCell ref="A4:E5"/>
    <mergeCell ref="A16:E16"/>
    <mergeCell ref="A15:E15"/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A2A3-0CBA-4986-B7B2-A010D5BF1CAD}">
  <dimension ref="A1:G30"/>
  <sheetViews>
    <sheetView showGridLines="0" workbookViewId="0"/>
  </sheetViews>
  <sheetFormatPr defaultRowHeight="15" x14ac:dyDescent="0.25"/>
  <cols>
    <col min="1" max="1" width="2.28515625" customWidth="1"/>
    <col min="2" max="2" width="7.5703125" bestFit="1" customWidth="1"/>
    <col min="3" max="3" width="30" bestFit="1" customWidth="1"/>
    <col min="4" max="4" width="19.42578125" bestFit="1" customWidth="1"/>
    <col min="5" max="5" width="24.7109375" bestFit="1" customWidth="1"/>
    <col min="6" max="6" width="15.85546875" bestFit="1" customWidth="1"/>
    <col min="7" max="7" width="7.5703125" bestFit="1" customWidth="1"/>
  </cols>
  <sheetData>
    <row r="1" spans="1:5" x14ac:dyDescent="0.25">
      <c r="A1" s="19" t="s">
        <v>59</v>
      </c>
    </row>
    <row r="2" spans="1:5" x14ac:dyDescent="0.25">
      <c r="A2" s="19" t="s">
        <v>60</v>
      </c>
    </row>
    <row r="3" spans="1:5" x14ac:dyDescent="0.25">
      <c r="A3" s="19" t="s">
        <v>61</v>
      </c>
    </row>
    <row r="4" spans="1:5" x14ac:dyDescent="0.25">
      <c r="A4" s="19" t="s">
        <v>62</v>
      </c>
    </row>
    <row r="5" spans="1:5" x14ac:dyDescent="0.25">
      <c r="A5" s="19" t="s">
        <v>63</v>
      </c>
    </row>
    <row r="6" spans="1:5" x14ac:dyDescent="0.25">
      <c r="A6" s="19"/>
      <c r="B6" t="s">
        <v>64</v>
      </c>
    </row>
    <row r="7" spans="1:5" x14ac:dyDescent="0.25">
      <c r="A7" s="19"/>
      <c r="B7" t="s">
        <v>65</v>
      </c>
    </row>
    <row r="8" spans="1:5" x14ac:dyDescent="0.25">
      <c r="A8" s="19"/>
      <c r="B8" t="s">
        <v>66</v>
      </c>
    </row>
    <row r="9" spans="1:5" x14ac:dyDescent="0.25">
      <c r="A9" s="19" t="s">
        <v>67</v>
      </c>
    </row>
    <row r="10" spans="1:5" x14ac:dyDescent="0.25">
      <c r="B10" t="s">
        <v>68</v>
      </c>
    </row>
    <row r="11" spans="1:5" x14ac:dyDescent="0.25">
      <c r="B11" t="s">
        <v>69</v>
      </c>
    </row>
    <row r="14" spans="1:5" ht="15.75" thickBot="1" x14ac:dyDescent="0.3">
      <c r="A14" t="s">
        <v>70</v>
      </c>
    </row>
    <row r="15" spans="1:5" ht="15.75" thickBot="1" x14ac:dyDescent="0.3">
      <c r="B15" s="21" t="s">
        <v>71</v>
      </c>
      <c r="C15" s="21" t="s">
        <v>72</v>
      </c>
      <c r="D15" s="21" t="s">
        <v>73</v>
      </c>
      <c r="E15" s="21" t="s">
        <v>74</v>
      </c>
    </row>
    <row r="16" spans="1:5" ht="15.75" thickBot="1" x14ac:dyDescent="0.3">
      <c r="B16" s="20" t="s">
        <v>81</v>
      </c>
      <c r="C16" s="20" t="s">
        <v>82</v>
      </c>
      <c r="D16" s="23">
        <v>276962.8252788104</v>
      </c>
      <c r="E16" s="23">
        <v>276962.8252788104</v>
      </c>
    </row>
    <row r="19" spans="1:7" ht="15.75" thickBot="1" x14ac:dyDescent="0.3">
      <c r="A19" t="s">
        <v>75</v>
      </c>
    </row>
    <row r="20" spans="1:7" ht="15.75" thickBot="1" x14ac:dyDescent="0.3">
      <c r="B20" s="21" t="s">
        <v>71</v>
      </c>
      <c r="C20" s="21" t="s">
        <v>72</v>
      </c>
      <c r="D20" s="21" t="s">
        <v>73</v>
      </c>
      <c r="E20" s="21" t="s">
        <v>74</v>
      </c>
      <c r="F20" s="21" t="s">
        <v>76</v>
      </c>
    </row>
    <row r="21" spans="1:7" x14ac:dyDescent="0.25">
      <c r="B21" s="22" t="s">
        <v>83</v>
      </c>
      <c r="C21" s="22" t="s">
        <v>84</v>
      </c>
      <c r="D21" s="24">
        <v>14.572490706319703</v>
      </c>
      <c r="E21" s="24">
        <v>14.572490706319703</v>
      </c>
      <c r="F21" s="22" t="s">
        <v>85</v>
      </c>
    </row>
    <row r="22" spans="1:7" x14ac:dyDescent="0.25">
      <c r="B22" s="22" t="s">
        <v>86</v>
      </c>
      <c r="C22" s="22" t="s">
        <v>87</v>
      </c>
      <c r="D22" s="24">
        <v>13.903345724907062</v>
      </c>
      <c r="E22" s="24">
        <v>13.903345724907062</v>
      </c>
      <c r="F22" s="22" t="s">
        <v>85</v>
      </c>
    </row>
    <row r="23" spans="1:7" ht="15.75" thickBot="1" x14ac:dyDescent="0.3">
      <c r="B23" s="20" t="s">
        <v>88</v>
      </c>
      <c r="C23" s="20" t="s">
        <v>89</v>
      </c>
      <c r="D23" s="25">
        <v>10.892193308550185</v>
      </c>
      <c r="E23" s="25">
        <v>10.892193308550185</v>
      </c>
      <c r="F23" s="20" t="s">
        <v>85</v>
      </c>
    </row>
    <row r="26" spans="1:7" ht="15.75" thickBot="1" x14ac:dyDescent="0.3">
      <c r="A26" t="s">
        <v>23</v>
      </c>
    </row>
    <row r="27" spans="1:7" ht="15.75" thickBot="1" x14ac:dyDescent="0.3">
      <c r="B27" s="21" t="s">
        <v>71</v>
      </c>
      <c r="C27" s="21" t="s">
        <v>72</v>
      </c>
      <c r="D27" s="21" t="s">
        <v>77</v>
      </c>
      <c r="E27" s="21" t="s">
        <v>78</v>
      </c>
      <c r="F27" s="21" t="s">
        <v>79</v>
      </c>
      <c r="G27" s="21" t="s">
        <v>80</v>
      </c>
    </row>
    <row r="28" spans="1:7" x14ac:dyDescent="0.25">
      <c r="B28" s="22" t="s">
        <v>90</v>
      </c>
      <c r="C28" s="22" t="s">
        <v>91</v>
      </c>
      <c r="D28" s="26">
        <v>100</v>
      </c>
      <c r="E28" s="22" t="s">
        <v>92</v>
      </c>
      <c r="F28" s="22" t="s">
        <v>93</v>
      </c>
      <c r="G28" s="22">
        <v>0</v>
      </c>
    </row>
    <row r="29" spans="1:7" x14ac:dyDescent="0.25">
      <c r="B29" s="22" t="s">
        <v>94</v>
      </c>
      <c r="C29" s="22" t="s">
        <v>91</v>
      </c>
      <c r="D29" s="26">
        <v>160</v>
      </c>
      <c r="E29" s="22" t="s">
        <v>95</v>
      </c>
      <c r="F29" s="22" t="s">
        <v>93</v>
      </c>
      <c r="G29" s="22">
        <v>0</v>
      </c>
    </row>
    <row r="30" spans="1:7" ht="15.75" thickBot="1" x14ac:dyDescent="0.3">
      <c r="B30" s="20" t="s">
        <v>96</v>
      </c>
      <c r="C30" s="20" t="s">
        <v>91</v>
      </c>
      <c r="D30" s="23">
        <v>130</v>
      </c>
      <c r="E30" s="20" t="s">
        <v>97</v>
      </c>
      <c r="F30" s="20" t="s">
        <v>93</v>
      </c>
      <c r="G30" s="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opLeftCell="A7" workbookViewId="0">
      <selection activeCell="G40" sqref="G40"/>
    </sheetView>
  </sheetViews>
  <sheetFormatPr defaultRowHeight="15" x14ac:dyDescent="0.25"/>
  <cols>
    <col min="1" max="1" width="24" customWidth="1"/>
    <col min="2" max="4" width="16" customWidth="1"/>
    <col min="5" max="5" width="14" customWidth="1"/>
    <col min="6" max="6" width="6" customWidth="1"/>
    <col min="7" max="7" width="14" customWidth="1"/>
  </cols>
  <sheetData>
    <row r="1" spans="1:5" ht="18.75" x14ac:dyDescent="0.3">
      <c r="A1" s="16" t="s">
        <v>27</v>
      </c>
      <c r="B1" s="12"/>
      <c r="C1" s="12"/>
      <c r="D1" s="12"/>
      <c r="E1" s="12"/>
    </row>
    <row r="3" spans="1:5" ht="15.75" x14ac:dyDescent="0.25">
      <c r="A3" s="11" t="s">
        <v>1</v>
      </c>
      <c r="B3" s="12"/>
      <c r="C3" s="12"/>
      <c r="D3" s="12"/>
      <c r="E3" s="12"/>
    </row>
    <row r="4" spans="1:5" ht="50.1" customHeight="1" x14ac:dyDescent="0.25">
      <c r="A4" s="13" t="s">
        <v>28</v>
      </c>
      <c r="B4" s="12"/>
      <c r="C4" s="12"/>
      <c r="D4" s="12"/>
      <c r="E4" s="12"/>
    </row>
    <row r="5" spans="1:5" x14ac:dyDescent="0.25">
      <c r="A5" s="12"/>
      <c r="B5" s="12"/>
      <c r="C5" s="12"/>
      <c r="D5" s="12"/>
      <c r="E5" s="12"/>
    </row>
    <row r="7" spans="1:5" ht="15.75" x14ac:dyDescent="0.25">
      <c r="A7" s="11" t="s">
        <v>3</v>
      </c>
      <c r="B7" s="12"/>
      <c r="C7" s="12"/>
      <c r="D7" s="12"/>
      <c r="E7" s="12"/>
    </row>
    <row r="8" spans="1:5" x14ac:dyDescent="0.25">
      <c r="A8" s="1" t="s">
        <v>4</v>
      </c>
      <c r="B8" s="1" t="s">
        <v>29</v>
      </c>
      <c r="C8" s="1" t="s">
        <v>30</v>
      </c>
      <c r="D8" s="1" t="s">
        <v>31</v>
      </c>
      <c r="E8" s="1" t="s">
        <v>8</v>
      </c>
    </row>
    <row r="9" spans="1:5" x14ac:dyDescent="0.25">
      <c r="A9" s="2" t="s">
        <v>32</v>
      </c>
      <c r="B9" s="3">
        <v>4</v>
      </c>
      <c r="C9" s="3">
        <v>3</v>
      </c>
      <c r="D9" s="3">
        <v>0</v>
      </c>
      <c r="E9" s="3">
        <v>100</v>
      </c>
    </row>
    <row r="10" spans="1:5" x14ac:dyDescent="0.25">
      <c r="A10" s="2" t="s">
        <v>33</v>
      </c>
      <c r="B10" s="3">
        <v>5</v>
      </c>
      <c r="C10" s="3">
        <v>0</v>
      </c>
      <c r="D10" s="3">
        <v>8</v>
      </c>
      <c r="E10" s="3">
        <v>160</v>
      </c>
    </row>
    <row r="11" spans="1:5" x14ac:dyDescent="0.25">
      <c r="A11" s="2" t="s">
        <v>34</v>
      </c>
      <c r="B11" s="3">
        <v>0</v>
      </c>
      <c r="C11" s="3">
        <v>7</v>
      </c>
      <c r="D11" s="3">
        <v>3</v>
      </c>
      <c r="E11" s="3">
        <v>130</v>
      </c>
    </row>
    <row r="12" spans="1:5" x14ac:dyDescent="0.25">
      <c r="A12" s="2" t="s">
        <v>12</v>
      </c>
      <c r="B12" s="2">
        <v>8000</v>
      </c>
      <c r="C12" s="2">
        <v>6600</v>
      </c>
      <c r="D12" s="2">
        <v>6300</v>
      </c>
      <c r="E12" s="3"/>
    </row>
    <row r="14" spans="1:5" ht="15.75" x14ac:dyDescent="0.25">
      <c r="A14" s="11" t="s">
        <v>13</v>
      </c>
      <c r="B14" s="12"/>
      <c r="C14" s="12"/>
      <c r="D14" s="12"/>
      <c r="E14" s="12"/>
    </row>
    <row r="15" spans="1:5" x14ac:dyDescent="0.25">
      <c r="A15" s="14" t="s">
        <v>35</v>
      </c>
      <c r="B15" s="12"/>
      <c r="C15" s="12"/>
      <c r="D15" s="12"/>
      <c r="E15" s="12"/>
    </row>
    <row r="16" spans="1:5" x14ac:dyDescent="0.25">
      <c r="A16" s="14" t="s">
        <v>36</v>
      </c>
      <c r="B16" s="12"/>
      <c r="C16" s="12"/>
      <c r="D16" s="12"/>
      <c r="E16" s="12"/>
    </row>
    <row r="17" spans="1:5" x14ac:dyDescent="0.25">
      <c r="A17" s="14" t="s">
        <v>37</v>
      </c>
      <c r="B17" s="12"/>
      <c r="C17" s="12"/>
      <c r="D17" s="12"/>
      <c r="E17" s="12"/>
    </row>
    <row r="18" spans="1:5" x14ac:dyDescent="0.25">
      <c r="A18" s="14" t="s">
        <v>38</v>
      </c>
      <c r="B18" s="12"/>
      <c r="C18" s="12"/>
      <c r="D18" s="12"/>
      <c r="E18" s="12"/>
    </row>
    <row r="19" spans="1:5" x14ac:dyDescent="0.25">
      <c r="A19" s="14" t="s">
        <v>18</v>
      </c>
      <c r="B19" s="12"/>
      <c r="C19" s="12"/>
      <c r="D19" s="12"/>
      <c r="E19" s="12"/>
    </row>
    <row r="21" spans="1:5" ht="15.75" x14ac:dyDescent="0.25">
      <c r="A21" s="11" t="s">
        <v>19</v>
      </c>
      <c r="B21" s="12"/>
      <c r="C21" s="12"/>
      <c r="D21" s="12"/>
      <c r="E21" s="12"/>
    </row>
    <row r="22" spans="1:5" x14ac:dyDescent="0.25">
      <c r="A22" s="17" t="s">
        <v>20</v>
      </c>
      <c r="B22" s="12"/>
      <c r="C22" s="12"/>
      <c r="D22" s="12"/>
      <c r="E22" s="12"/>
    </row>
    <row r="23" spans="1:5" x14ac:dyDescent="0.25">
      <c r="A23" s="1" t="s">
        <v>4</v>
      </c>
      <c r="B23" s="1" t="s">
        <v>29</v>
      </c>
      <c r="C23" s="1" t="s">
        <v>30</v>
      </c>
      <c r="D23" s="1" t="s">
        <v>31</v>
      </c>
      <c r="E23" s="1" t="s">
        <v>8</v>
      </c>
    </row>
    <row r="24" spans="1:5" x14ac:dyDescent="0.25">
      <c r="A24" s="2" t="s">
        <v>32</v>
      </c>
      <c r="B24" s="3">
        <v>4</v>
      </c>
      <c r="C24" s="3">
        <v>3</v>
      </c>
      <c r="D24" s="3">
        <v>0</v>
      </c>
      <c r="E24" s="3">
        <v>100</v>
      </c>
    </row>
    <row r="25" spans="1:5" x14ac:dyDescent="0.25">
      <c r="A25" s="2" t="s">
        <v>33</v>
      </c>
      <c r="B25" s="3">
        <v>5</v>
      </c>
      <c r="C25" s="3">
        <v>0</v>
      </c>
      <c r="D25" s="3">
        <v>8</v>
      </c>
      <c r="E25" s="3">
        <v>160</v>
      </c>
    </row>
    <row r="26" spans="1:5" x14ac:dyDescent="0.25">
      <c r="A26" s="2" t="s">
        <v>34</v>
      </c>
      <c r="B26" s="3">
        <v>0</v>
      </c>
      <c r="C26" s="3">
        <v>7</v>
      </c>
      <c r="D26" s="3">
        <v>3</v>
      </c>
      <c r="E26" s="3">
        <v>130</v>
      </c>
    </row>
    <row r="27" spans="1:5" x14ac:dyDescent="0.25">
      <c r="A27" s="2" t="s">
        <v>12</v>
      </c>
      <c r="B27" s="2">
        <v>8000</v>
      </c>
      <c r="C27" s="2">
        <v>6600</v>
      </c>
      <c r="D27" s="2">
        <v>6300</v>
      </c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ht="15.75" x14ac:dyDescent="0.25">
      <c r="A30" s="4" t="s">
        <v>21</v>
      </c>
      <c r="B30" s="5">
        <v>14.572490706319703</v>
      </c>
      <c r="C30" s="5">
        <v>13.903345724907062</v>
      </c>
      <c r="D30" s="5">
        <v>10.892193308550185</v>
      </c>
      <c r="E30" s="6"/>
    </row>
    <row r="31" spans="1:5" ht="15.75" x14ac:dyDescent="0.25">
      <c r="A31" s="7" t="s">
        <v>22</v>
      </c>
      <c r="B31" s="18">
        <f>SUMPRODUCT(B27:D27,B30:D30)</f>
        <v>276962.8252788104</v>
      </c>
      <c r="C31" s="9"/>
      <c r="D31" s="9"/>
      <c r="E31" s="9"/>
    </row>
    <row r="32" spans="1:5" x14ac:dyDescent="0.25">
      <c r="A32" s="3"/>
      <c r="B32" s="3"/>
      <c r="C32" s="3"/>
      <c r="D32" s="3"/>
      <c r="E32" s="3"/>
    </row>
    <row r="33" spans="1:5" x14ac:dyDescent="0.25">
      <c r="A33" s="2" t="s">
        <v>23</v>
      </c>
      <c r="B33" s="10">
        <f>SUMPRODUCT(B24:D24,B30:D30)</f>
        <v>100</v>
      </c>
      <c r="C33" s="2" t="s">
        <v>24</v>
      </c>
      <c r="D33" s="3">
        <v>100</v>
      </c>
      <c r="E33" s="3"/>
    </row>
    <row r="34" spans="1:5" x14ac:dyDescent="0.25">
      <c r="A34" s="2" t="s">
        <v>23</v>
      </c>
      <c r="B34" s="10">
        <f>SUMPRODUCT(B25:D25,B30:D30)</f>
        <v>160</v>
      </c>
      <c r="C34" s="2" t="s">
        <v>24</v>
      </c>
      <c r="D34" s="3">
        <v>160</v>
      </c>
      <c r="E34" s="3"/>
    </row>
    <row r="35" spans="1:5" x14ac:dyDescent="0.25">
      <c r="A35" s="2" t="s">
        <v>23</v>
      </c>
      <c r="B35" s="10">
        <f>SUMPRODUCT(B26:D26,B30:D30)</f>
        <v>130</v>
      </c>
      <c r="C35" s="2" t="s">
        <v>24</v>
      </c>
      <c r="D35" s="3">
        <v>130</v>
      </c>
      <c r="E35" s="3"/>
    </row>
    <row r="39" spans="1:5" ht="15.75" x14ac:dyDescent="0.25">
      <c r="A39" s="11" t="s">
        <v>25</v>
      </c>
      <c r="B39" s="12"/>
      <c r="C39" s="12"/>
      <c r="D39" s="12"/>
      <c r="E39" s="12"/>
    </row>
    <row r="40" spans="1:5" ht="60" customHeight="1" x14ac:dyDescent="0.25">
      <c r="A40" s="15" t="s">
        <v>39</v>
      </c>
      <c r="B40" s="12"/>
      <c r="C40" s="12"/>
      <c r="D40" s="12"/>
      <c r="E40" s="12"/>
    </row>
    <row r="41" spans="1:5" x14ac:dyDescent="0.25">
      <c r="A41" s="12"/>
      <c r="B41" s="12"/>
      <c r="C41" s="12"/>
      <c r="D41" s="12"/>
      <c r="E41" s="12"/>
    </row>
  </sheetData>
  <mergeCells count="14">
    <mergeCell ref="A40:E41"/>
    <mergeCell ref="A19:E19"/>
    <mergeCell ref="A1:E1"/>
    <mergeCell ref="A14:E14"/>
    <mergeCell ref="A22:E22"/>
    <mergeCell ref="A17:E17"/>
    <mergeCell ref="A18:E18"/>
    <mergeCell ref="A3:E3"/>
    <mergeCell ref="A21:E21"/>
    <mergeCell ref="A39:E39"/>
    <mergeCell ref="A4:E5"/>
    <mergeCell ref="A16:E16"/>
    <mergeCell ref="A15:E15"/>
    <mergeCell ref="A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4232-6C0E-40A8-AA87-D6EBEED9864F}">
  <dimension ref="A1:G33"/>
  <sheetViews>
    <sheetView showGridLines="0" workbookViewId="0"/>
  </sheetViews>
  <sheetFormatPr defaultRowHeight="15" x14ac:dyDescent="0.25"/>
  <cols>
    <col min="1" max="1" width="2.28515625" customWidth="1"/>
    <col min="2" max="2" width="7.5703125" bestFit="1" customWidth="1"/>
    <col min="3" max="3" width="27.140625" bestFit="1" customWidth="1"/>
    <col min="4" max="4" width="19.42578125" bestFit="1" customWidth="1"/>
    <col min="5" max="5" width="24.7109375" bestFit="1" customWidth="1"/>
    <col min="6" max="6" width="15.85546875" bestFit="1" customWidth="1"/>
    <col min="7" max="7" width="7.5703125" bestFit="1" customWidth="1"/>
  </cols>
  <sheetData>
    <row r="1" spans="1:5" x14ac:dyDescent="0.25">
      <c r="A1" s="19" t="s">
        <v>59</v>
      </c>
    </row>
    <row r="2" spans="1:5" x14ac:dyDescent="0.25">
      <c r="A2" s="19" t="s">
        <v>109</v>
      </c>
    </row>
    <row r="3" spans="1:5" x14ac:dyDescent="0.25">
      <c r="A3" s="19" t="s">
        <v>110</v>
      </c>
    </row>
    <row r="4" spans="1:5" x14ac:dyDescent="0.25">
      <c r="A4" s="19" t="s">
        <v>62</v>
      </c>
    </row>
    <row r="5" spans="1:5" x14ac:dyDescent="0.25">
      <c r="A5" s="19" t="s">
        <v>63</v>
      </c>
    </row>
    <row r="6" spans="1:5" x14ac:dyDescent="0.25">
      <c r="A6" s="19"/>
      <c r="B6" t="s">
        <v>64</v>
      </c>
    </row>
    <row r="7" spans="1:5" x14ac:dyDescent="0.25">
      <c r="A7" s="19"/>
      <c r="B7" t="s">
        <v>65</v>
      </c>
    </row>
    <row r="8" spans="1:5" x14ac:dyDescent="0.25">
      <c r="A8" s="19"/>
      <c r="B8" t="s">
        <v>101</v>
      </c>
    </row>
    <row r="9" spans="1:5" x14ac:dyDescent="0.25">
      <c r="A9" s="19" t="s">
        <v>67</v>
      </c>
    </row>
    <row r="10" spans="1:5" x14ac:dyDescent="0.25">
      <c r="B10" t="s">
        <v>102</v>
      </c>
    </row>
    <row r="11" spans="1:5" x14ac:dyDescent="0.25">
      <c r="B11" t="s">
        <v>69</v>
      </c>
    </row>
    <row r="14" spans="1:5" ht="15.75" thickBot="1" x14ac:dyDescent="0.3">
      <c r="A14" t="s">
        <v>70</v>
      </c>
    </row>
    <row r="15" spans="1:5" ht="15.75" thickBot="1" x14ac:dyDescent="0.3">
      <c r="B15" s="21" t="s">
        <v>71</v>
      </c>
      <c r="C15" s="21" t="s">
        <v>72</v>
      </c>
      <c r="D15" s="21" t="s">
        <v>73</v>
      </c>
      <c r="E15" s="21" t="s">
        <v>74</v>
      </c>
    </row>
    <row r="16" spans="1:5" ht="15.75" thickBot="1" x14ac:dyDescent="0.3">
      <c r="B16" s="20" t="s">
        <v>111</v>
      </c>
      <c r="C16" s="20" t="s">
        <v>112</v>
      </c>
      <c r="D16" s="23">
        <v>96450</v>
      </c>
      <c r="E16" s="23">
        <v>96449.999999999985</v>
      </c>
    </row>
    <row r="19" spans="1:7" ht="15.75" thickBot="1" x14ac:dyDescent="0.3">
      <c r="A19" t="s">
        <v>75</v>
      </c>
    </row>
    <row r="20" spans="1:7" ht="15.75" thickBot="1" x14ac:dyDescent="0.3">
      <c r="B20" s="21" t="s">
        <v>71</v>
      </c>
      <c r="C20" s="21" t="s">
        <v>72</v>
      </c>
      <c r="D20" s="21" t="s">
        <v>73</v>
      </c>
      <c r="E20" s="21" t="s">
        <v>74</v>
      </c>
      <c r="F20" s="21" t="s">
        <v>76</v>
      </c>
    </row>
    <row r="21" spans="1:7" x14ac:dyDescent="0.25">
      <c r="B21" s="22" t="s">
        <v>113</v>
      </c>
      <c r="C21" s="22" t="s">
        <v>114</v>
      </c>
      <c r="D21" s="24">
        <v>3.5</v>
      </c>
      <c r="E21" s="24">
        <v>3.4999999999999996</v>
      </c>
      <c r="F21" s="22" t="s">
        <v>85</v>
      </c>
    </row>
    <row r="22" spans="1:7" x14ac:dyDescent="0.25">
      <c r="B22" s="22" t="s">
        <v>115</v>
      </c>
      <c r="C22" s="22" t="s">
        <v>116</v>
      </c>
      <c r="D22" s="24">
        <v>3.5</v>
      </c>
      <c r="E22" s="24">
        <v>3.4999999999999996</v>
      </c>
      <c r="F22" s="22" t="s">
        <v>85</v>
      </c>
    </row>
    <row r="23" spans="1:7" x14ac:dyDescent="0.25">
      <c r="B23" s="22" t="s">
        <v>117</v>
      </c>
      <c r="C23" s="22" t="s">
        <v>118</v>
      </c>
      <c r="D23" s="24">
        <v>0.5</v>
      </c>
      <c r="E23" s="24">
        <v>0.50000000000000044</v>
      </c>
      <c r="F23" s="22" t="s">
        <v>85</v>
      </c>
    </row>
    <row r="24" spans="1:7" ht="15.75" thickBot="1" x14ac:dyDescent="0.3">
      <c r="B24" s="20" t="s">
        <v>119</v>
      </c>
      <c r="C24" s="20" t="s">
        <v>120</v>
      </c>
      <c r="D24" s="25">
        <v>2.5</v>
      </c>
      <c r="E24" s="25">
        <v>2.5</v>
      </c>
      <c r="F24" s="20" t="s">
        <v>85</v>
      </c>
    </row>
    <row r="27" spans="1:7" ht="15.75" thickBot="1" x14ac:dyDescent="0.3">
      <c r="A27" t="s">
        <v>23</v>
      </c>
    </row>
    <row r="28" spans="1:7" ht="15.75" thickBot="1" x14ac:dyDescent="0.3">
      <c r="B28" s="21" t="s">
        <v>71</v>
      </c>
      <c r="C28" s="21" t="s">
        <v>72</v>
      </c>
      <c r="D28" s="21" t="s">
        <v>77</v>
      </c>
      <c r="E28" s="21" t="s">
        <v>78</v>
      </c>
      <c r="F28" s="21" t="s">
        <v>79</v>
      </c>
      <c r="G28" s="21" t="s">
        <v>80</v>
      </c>
    </row>
    <row r="29" spans="1:7" x14ac:dyDescent="0.25">
      <c r="B29" s="22" t="s">
        <v>121</v>
      </c>
      <c r="C29" s="22" t="s">
        <v>122</v>
      </c>
      <c r="D29" s="26">
        <v>4</v>
      </c>
      <c r="E29" s="22" t="s">
        <v>123</v>
      </c>
      <c r="F29" s="22" t="s">
        <v>93</v>
      </c>
      <c r="G29" s="22">
        <v>0</v>
      </c>
    </row>
    <row r="30" spans="1:7" x14ac:dyDescent="0.25">
      <c r="B30" s="22" t="s">
        <v>124</v>
      </c>
      <c r="C30" s="22" t="s">
        <v>122</v>
      </c>
      <c r="D30" s="26">
        <v>6</v>
      </c>
      <c r="E30" s="22" t="s">
        <v>125</v>
      </c>
      <c r="F30" s="22" t="s">
        <v>93</v>
      </c>
      <c r="G30" s="22">
        <v>0</v>
      </c>
    </row>
    <row r="31" spans="1:7" x14ac:dyDescent="0.25">
      <c r="B31" s="22" t="s">
        <v>126</v>
      </c>
      <c r="C31" s="22" t="s">
        <v>122</v>
      </c>
      <c r="D31" s="26">
        <v>6</v>
      </c>
      <c r="E31" s="22" t="s">
        <v>127</v>
      </c>
      <c r="F31" s="22" t="s">
        <v>93</v>
      </c>
      <c r="G31" s="22">
        <v>0</v>
      </c>
    </row>
    <row r="32" spans="1:7" x14ac:dyDescent="0.25">
      <c r="B32" s="22" t="s">
        <v>128</v>
      </c>
      <c r="C32" s="22" t="s">
        <v>122</v>
      </c>
      <c r="D32" s="26">
        <v>4</v>
      </c>
      <c r="E32" s="22" t="s">
        <v>129</v>
      </c>
      <c r="F32" s="22" t="s">
        <v>93</v>
      </c>
      <c r="G32" s="22">
        <v>0</v>
      </c>
    </row>
    <row r="33" spans="2:7" ht="15.75" thickBot="1" x14ac:dyDescent="0.3">
      <c r="B33" s="20" t="s">
        <v>130</v>
      </c>
      <c r="C33" s="20" t="s">
        <v>122</v>
      </c>
      <c r="D33" s="23">
        <v>49.999999999999993</v>
      </c>
      <c r="E33" s="20" t="s">
        <v>131</v>
      </c>
      <c r="F33" s="20" t="s">
        <v>93</v>
      </c>
      <c r="G33" s="2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abSelected="1" workbookViewId="0">
      <selection activeCell="B37" sqref="B37"/>
    </sheetView>
  </sheetViews>
  <sheetFormatPr defaultRowHeight="15" x14ac:dyDescent="0.25"/>
  <cols>
    <col min="1" max="1" width="24" customWidth="1"/>
    <col min="2" max="5" width="16" customWidth="1"/>
    <col min="6" max="6" width="14" customWidth="1"/>
    <col min="7" max="7" width="6" customWidth="1"/>
    <col min="8" max="8" width="14" customWidth="1"/>
  </cols>
  <sheetData>
    <row r="1" spans="1:6" ht="18.75" x14ac:dyDescent="0.3">
      <c r="A1" s="16" t="s">
        <v>40</v>
      </c>
      <c r="B1" s="12"/>
      <c r="C1" s="12"/>
      <c r="D1" s="12"/>
      <c r="E1" s="12"/>
      <c r="F1" s="12"/>
    </row>
    <row r="3" spans="1:6" ht="15.75" x14ac:dyDescent="0.25">
      <c r="A3" s="11" t="s">
        <v>1</v>
      </c>
      <c r="B3" s="12"/>
      <c r="C3" s="12"/>
      <c r="D3" s="12"/>
      <c r="E3" s="12"/>
      <c r="F3" s="12"/>
    </row>
    <row r="4" spans="1:6" ht="50.1" customHeight="1" x14ac:dyDescent="0.25">
      <c r="A4" s="13" t="s">
        <v>41</v>
      </c>
      <c r="B4" s="12"/>
      <c r="C4" s="12"/>
      <c r="D4" s="12"/>
      <c r="E4" s="12"/>
      <c r="F4" s="12"/>
    </row>
    <row r="5" spans="1:6" x14ac:dyDescent="0.25">
      <c r="A5" s="12"/>
      <c r="B5" s="12"/>
      <c r="C5" s="12"/>
      <c r="D5" s="12"/>
      <c r="E5" s="12"/>
      <c r="F5" s="12"/>
    </row>
    <row r="7" spans="1:6" ht="15.75" x14ac:dyDescent="0.25">
      <c r="A7" s="11" t="s">
        <v>3</v>
      </c>
      <c r="B7" s="12"/>
      <c r="C7" s="12"/>
      <c r="D7" s="12"/>
      <c r="E7" s="12"/>
      <c r="F7" s="12"/>
    </row>
    <row r="8" spans="1:6" x14ac:dyDescent="0.25">
      <c r="A8" s="1" t="s">
        <v>4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8</v>
      </c>
    </row>
    <row r="9" spans="1:6" x14ac:dyDescent="0.25">
      <c r="A9" s="2" t="s">
        <v>46</v>
      </c>
      <c r="B9" s="3">
        <v>1</v>
      </c>
      <c r="C9" s="3">
        <v>0</v>
      </c>
      <c r="D9" s="3">
        <v>1</v>
      </c>
      <c r="E9" s="3">
        <v>0</v>
      </c>
      <c r="F9" s="3">
        <v>4</v>
      </c>
    </row>
    <row r="10" spans="1:6" x14ac:dyDescent="0.25">
      <c r="A10" s="2" t="s">
        <v>47</v>
      </c>
      <c r="B10" s="3">
        <v>1</v>
      </c>
      <c r="C10" s="3">
        <v>0</v>
      </c>
      <c r="D10" s="3">
        <v>0</v>
      </c>
      <c r="E10" s="3">
        <v>1</v>
      </c>
      <c r="F10" s="3">
        <v>6</v>
      </c>
    </row>
    <row r="11" spans="1:6" x14ac:dyDescent="0.25">
      <c r="A11" s="2" t="s">
        <v>48</v>
      </c>
      <c r="B11" s="3">
        <v>0</v>
      </c>
      <c r="C11" s="3">
        <v>1</v>
      </c>
      <c r="D11" s="3">
        <v>0</v>
      </c>
      <c r="E11" s="3">
        <v>1</v>
      </c>
      <c r="F11" s="3">
        <v>6</v>
      </c>
    </row>
    <row r="12" spans="1:6" x14ac:dyDescent="0.25">
      <c r="A12" s="2" t="s">
        <v>49</v>
      </c>
      <c r="B12" s="3">
        <v>0</v>
      </c>
      <c r="C12" s="3">
        <v>1</v>
      </c>
      <c r="D12" s="3">
        <v>1</v>
      </c>
      <c r="E12" s="3">
        <v>0</v>
      </c>
      <c r="F12" s="3">
        <v>4</v>
      </c>
    </row>
    <row r="13" spans="1:6" x14ac:dyDescent="0.25">
      <c r="A13" s="2" t="s">
        <v>50</v>
      </c>
      <c r="B13" s="3">
        <v>5</v>
      </c>
      <c r="C13" s="3">
        <v>4</v>
      </c>
      <c r="D13" s="3">
        <v>7</v>
      </c>
      <c r="E13" s="3">
        <v>6</v>
      </c>
      <c r="F13" s="3">
        <v>50</v>
      </c>
    </row>
    <row r="14" spans="1:6" x14ac:dyDescent="0.25">
      <c r="A14" s="2" t="s">
        <v>12</v>
      </c>
      <c r="B14" s="2">
        <v>10000</v>
      </c>
      <c r="C14" s="2">
        <v>9200</v>
      </c>
      <c r="D14" s="2">
        <v>10500</v>
      </c>
      <c r="E14" s="2">
        <v>9600</v>
      </c>
      <c r="F14" s="3"/>
    </row>
    <row r="16" spans="1:6" ht="15.75" x14ac:dyDescent="0.25">
      <c r="A16" s="11" t="s">
        <v>13</v>
      </c>
      <c r="B16" s="12"/>
      <c r="C16" s="12"/>
      <c r="D16" s="12"/>
      <c r="E16" s="12"/>
      <c r="F16" s="12"/>
    </row>
    <row r="17" spans="1:6" x14ac:dyDescent="0.25">
      <c r="A17" s="14" t="s">
        <v>51</v>
      </c>
      <c r="B17" s="12"/>
      <c r="C17" s="12"/>
      <c r="D17" s="12"/>
      <c r="E17" s="12"/>
      <c r="F17" s="12"/>
    </row>
    <row r="18" spans="1:6" x14ac:dyDescent="0.25">
      <c r="A18" s="14" t="s">
        <v>52</v>
      </c>
      <c r="B18" s="12"/>
      <c r="C18" s="12"/>
      <c r="D18" s="12"/>
      <c r="E18" s="12"/>
      <c r="F18" s="12"/>
    </row>
    <row r="19" spans="1:6" x14ac:dyDescent="0.25">
      <c r="A19" s="14" t="s">
        <v>53</v>
      </c>
      <c r="B19" s="12"/>
      <c r="C19" s="12"/>
      <c r="D19" s="12"/>
      <c r="E19" s="12"/>
      <c r="F19" s="12"/>
    </row>
    <row r="20" spans="1:6" x14ac:dyDescent="0.25">
      <c r="A20" s="14" t="s">
        <v>54</v>
      </c>
      <c r="B20" s="12"/>
      <c r="C20" s="12"/>
      <c r="D20" s="12"/>
      <c r="E20" s="12"/>
      <c r="F20" s="12"/>
    </row>
    <row r="21" spans="1:6" x14ac:dyDescent="0.25">
      <c r="A21" s="14" t="s">
        <v>55</v>
      </c>
      <c r="B21" s="12"/>
      <c r="C21" s="12"/>
      <c r="D21" s="12"/>
      <c r="E21" s="12"/>
      <c r="F21" s="12"/>
    </row>
    <row r="22" spans="1:6" x14ac:dyDescent="0.25">
      <c r="A22" s="14" t="s">
        <v>56</v>
      </c>
      <c r="B22" s="12"/>
      <c r="C22" s="12"/>
      <c r="D22" s="12"/>
      <c r="E22" s="12"/>
      <c r="F22" s="12"/>
    </row>
    <row r="23" spans="1:6" x14ac:dyDescent="0.25">
      <c r="A23" s="14" t="s">
        <v>57</v>
      </c>
      <c r="B23" s="12"/>
      <c r="C23" s="12"/>
      <c r="D23" s="12"/>
      <c r="E23" s="12"/>
      <c r="F23" s="12"/>
    </row>
    <row r="25" spans="1:6" ht="15.75" x14ac:dyDescent="0.25">
      <c r="A25" s="11" t="s">
        <v>19</v>
      </c>
      <c r="B25" s="12"/>
      <c r="C25" s="12"/>
      <c r="D25" s="12"/>
      <c r="E25" s="12"/>
      <c r="F25" s="12"/>
    </row>
    <row r="26" spans="1:6" x14ac:dyDescent="0.25">
      <c r="A26" s="17" t="s">
        <v>20</v>
      </c>
      <c r="B26" s="12"/>
      <c r="C26" s="12"/>
      <c r="D26" s="12"/>
      <c r="E26" s="12"/>
      <c r="F26" s="12"/>
    </row>
    <row r="27" spans="1:6" x14ac:dyDescent="0.25">
      <c r="A27" s="1" t="s">
        <v>4</v>
      </c>
      <c r="B27" s="1" t="s">
        <v>42</v>
      </c>
      <c r="C27" s="1" t="s">
        <v>43</v>
      </c>
      <c r="D27" s="1" t="s">
        <v>44</v>
      </c>
      <c r="E27" s="1" t="s">
        <v>45</v>
      </c>
      <c r="F27" s="1" t="s">
        <v>8</v>
      </c>
    </row>
    <row r="28" spans="1:6" x14ac:dyDescent="0.25">
      <c r="A28" s="2" t="s">
        <v>46</v>
      </c>
      <c r="B28" s="3">
        <v>1</v>
      </c>
      <c r="C28" s="3">
        <v>0</v>
      </c>
      <c r="D28" s="3">
        <v>1</v>
      </c>
      <c r="E28" s="3">
        <v>0</v>
      </c>
      <c r="F28" s="3">
        <v>4</v>
      </c>
    </row>
    <row r="29" spans="1:6" x14ac:dyDescent="0.25">
      <c r="A29" s="2" t="s">
        <v>47</v>
      </c>
      <c r="B29" s="3">
        <v>1</v>
      </c>
      <c r="C29" s="3">
        <v>0</v>
      </c>
      <c r="D29" s="3">
        <v>0</v>
      </c>
      <c r="E29" s="3">
        <v>1</v>
      </c>
      <c r="F29" s="3">
        <v>6</v>
      </c>
    </row>
    <row r="30" spans="1:6" x14ac:dyDescent="0.25">
      <c r="A30" s="2" t="s">
        <v>48</v>
      </c>
      <c r="B30" s="3">
        <v>0</v>
      </c>
      <c r="C30" s="3">
        <v>1</v>
      </c>
      <c r="D30" s="3">
        <v>0</v>
      </c>
      <c r="E30" s="3">
        <v>1</v>
      </c>
      <c r="F30" s="3">
        <v>6</v>
      </c>
    </row>
    <row r="31" spans="1:6" x14ac:dyDescent="0.25">
      <c r="A31" s="2" t="s">
        <v>49</v>
      </c>
      <c r="B31" s="3">
        <v>0</v>
      </c>
      <c r="C31" s="3">
        <v>1</v>
      </c>
      <c r="D31" s="3">
        <v>1</v>
      </c>
      <c r="E31" s="3">
        <v>0</v>
      </c>
      <c r="F31" s="3">
        <v>4</v>
      </c>
    </row>
    <row r="32" spans="1:6" x14ac:dyDescent="0.25">
      <c r="A32" s="2" t="s">
        <v>50</v>
      </c>
      <c r="B32" s="3">
        <v>5</v>
      </c>
      <c r="C32" s="3">
        <v>4</v>
      </c>
      <c r="D32" s="3">
        <v>7</v>
      </c>
      <c r="E32" s="3">
        <v>6</v>
      </c>
      <c r="F32" s="3">
        <v>50</v>
      </c>
    </row>
    <row r="33" spans="1:6" x14ac:dyDescent="0.25">
      <c r="A33" s="2" t="s">
        <v>12</v>
      </c>
      <c r="B33" s="2">
        <v>10000</v>
      </c>
      <c r="C33" s="2">
        <v>9200</v>
      </c>
      <c r="D33" s="2">
        <v>10500</v>
      </c>
      <c r="E33" s="2">
        <v>9600</v>
      </c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ht="15.75" x14ac:dyDescent="0.25">
      <c r="A36" s="4" t="s">
        <v>21</v>
      </c>
      <c r="B36" s="5">
        <v>3.4999999999999996</v>
      </c>
      <c r="C36" s="5">
        <v>3.4999999999999996</v>
      </c>
      <c r="D36" s="5">
        <v>0.50000000000000044</v>
      </c>
      <c r="E36" s="5">
        <v>2.5</v>
      </c>
      <c r="F36" s="6"/>
    </row>
    <row r="37" spans="1:6" ht="15.75" x14ac:dyDescent="0.25">
      <c r="A37" s="7" t="s">
        <v>22</v>
      </c>
      <c r="B37" s="8">
        <f>SUMPRODUCT(B33:E33,B36:E36)</f>
        <v>96449.999999999985</v>
      </c>
      <c r="C37" s="9"/>
      <c r="D37" s="9"/>
      <c r="E37" s="9"/>
      <c r="F37" s="9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2" t="s">
        <v>23</v>
      </c>
      <c r="B39" s="10">
        <f>SUMPRODUCT(B28:E28,B36:E36)</f>
        <v>4</v>
      </c>
      <c r="C39" s="2" t="s">
        <v>24</v>
      </c>
      <c r="D39" s="3">
        <v>4</v>
      </c>
      <c r="E39" s="3"/>
      <c r="F39" s="3"/>
    </row>
    <row r="40" spans="1:6" x14ac:dyDescent="0.25">
      <c r="A40" s="2" t="s">
        <v>23</v>
      </c>
      <c r="B40" s="10">
        <f>SUMPRODUCT(B29:E29,B36:E36)</f>
        <v>6</v>
      </c>
      <c r="C40" s="2" t="s">
        <v>24</v>
      </c>
      <c r="D40" s="3">
        <v>6</v>
      </c>
      <c r="E40" s="3"/>
      <c r="F40" s="3"/>
    </row>
    <row r="41" spans="1:6" x14ac:dyDescent="0.25">
      <c r="A41" s="2" t="s">
        <v>23</v>
      </c>
      <c r="B41" s="10">
        <f>SUMPRODUCT(B30:E30,B36:E36)</f>
        <v>6</v>
      </c>
      <c r="C41" s="2" t="s">
        <v>24</v>
      </c>
      <c r="D41" s="3">
        <v>6</v>
      </c>
      <c r="E41" s="3"/>
      <c r="F41" s="3"/>
    </row>
    <row r="42" spans="1:6" x14ac:dyDescent="0.25">
      <c r="A42" s="2" t="s">
        <v>23</v>
      </c>
      <c r="B42" s="10">
        <f>SUMPRODUCT(B31:E31,B36:E36)</f>
        <v>4</v>
      </c>
      <c r="C42" s="2" t="s">
        <v>24</v>
      </c>
      <c r="D42" s="3">
        <v>4</v>
      </c>
      <c r="E42" s="3"/>
      <c r="F42" s="3"/>
    </row>
    <row r="43" spans="1:6" x14ac:dyDescent="0.25">
      <c r="A43" s="2" t="s">
        <v>23</v>
      </c>
      <c r="B43" s="10">
        <f>SUMPRODUCT(B32:E32,B36:E36)</f>
        <v>49.999999999999993</v>
      </c>
      <c r="C43" s="2" t="s">
        <v>24</v>
      </c>
      <c r="D43" s="3">
        <v>50</v>
      </c>
      <c r="E43" s="3"/>
      <c r="F43" s="3"/>
    </row>
    <row r="47" spans="1:6" ht="15.75" x14ac:dyDescent="0.25">
      <c r="A47" s="11" t="s">
        <v>25</v>
      </c>
      <c r="B47" s="12"/>
      <c r="C47" s="12"/>
      <c r="D47" s="12"/>
      <c r="E47" s="12"/>
      <c r="F47" s="12"/>
    </row>
    <row r="48" spans="1:6" ht="60" customHeight="1" x14ac:dyDescent="0.25">
      <c r="A48" s="15" t="s">
        <v>58</v>
      </c>
      <c r="B48" s="12"/>
      <c r="C48" s="12"/>
      <c r="D48" s="12"/>
      <c r="E48" s="12"/>
      <c r="F48" s="12"/>
    </row>
    <row r="49" spans="1:6" x14ac:dyDescent="0.25">
      <c r="A49" s="12"/>
      <c r="B49" s="12"/>
      <c r="C49" s="12"/>
      <c r="D49" s="12"/>
      <c r="E49" s="12"/>
      <c r="F49" s="12"/>
    </row>
  </sheetData>
  <mergeCells count="16">
    <mergeCell ref="A48:F49"/>
    <mergeCell ref="A26:F26"/>
    <mergeCell ref="A22:F22"/>
    <mergeCell ref="A17:F17"/>
    <mergeCell ref="A18:F18"/>
    <mergeCell ref="A20:F20"/>
    <mergeCell ref="A21:F21"/>
    <mergeCell ref="A25:F25"/>
    <mergeCell ref="A16:F16"/>
    <mergeCell ref="A47:F47"/>
    <mergeCell ref="A19:F19"/>
    <mergeCell ref="A1:F1"/>
    <mergeCell ref="A23:F23"/>
    <mergeCell ref="A3:F3"/>
    <mergeCell ref="A4:F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Отчет о результатах 2</vt:lpstr>
      <vt:lpstr>Вариант 1</vt:lpstr>
      <vt:lpstr>Отчет о результатах 1</vt:lpstr>
      <vt:lpstr>Вариант 3</vt:lpstr>
      <vt:lpstr>Отчет о результатах 3</vt:lpstr>
      <vt:lpstr>Вариант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Диитрий Рослов</cp:lastModifiedBy>
  <dcterms:created xsi:type="dcterms:W3CDTF">2026-04-12T20:05:23Z</dcterms:created>
  <dcterms:modified xsi:type="dcterms:W3CDTF">2026-04-12T20:50:14Z</dcterms:modified>
</cp:coreProperties>
</file>