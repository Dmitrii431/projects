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ma\Downloads\"/>
    </mc:Choice>
  </mc:AlternateContent>
  <xr:revisionPtr revIDLastSave="0" documentId="8_{E86640F5-5CD2-4480-8852-20BE22F292E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Вариант 3" sheetId="2" r:id="rId1"/>
    <sheet name="Задание 2 — Микрофон" sheetId="3" r:id="rId2"/>
    <sheet name="Задание 2 — ВУЗ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4" l="1"/>
  <c r="E49" i="4"/>
  <c r="F48" i="4"/>
  <c r="E48" i="4"/>
  <c r="F47" i="4"/>
  <c r="E47" i="4"/>
  <c r="F43" i="4"/>
  <c r="E43" i="4"/>
  <c r="F42" i="4"/>
  <c r="E42" i="4"/>
  <c r="F41" i="4"/>
  <c r="E41" i="4"/>
  <c r="F37" i="4"/>
  <c r="E37" i="4"/>
  <c r="F36" i="4"/>
  <c r="E36" i="4"/>
  <c r="F35" i="4"/>
  <c r="E35" i="4"/>
  <c r="F31" i="4"/>
  <c r="E31" i="4"/>
  <c r="F30" i="4"/>
  <c r="E30" i="4"/>
  <c r="F29" i="4"/>
  <c r="E29" i="4"/>
  <c r="F25" i="4"/>
  <c r="E25" i="4"/>
  <c r="F24" i="4"/>
  <c r="E24" i="4"/>
  <c r="F23" i="4"/>
  <c r="E23" i="4"/>
  <c r="F19" i="4"/>
  <c r="E19" i="4"/>
  <c r="F18" i="4"/>
  <c r="E18" i="4"/>
  <c r="F17" i="4"/>
  <c r="E17" i="4"/>
  <c r="E13" i="4"/>
  <c r="D13" i="4"/>
  <c r="E12" i="4"/>
  <c r="D12" i="4"/>
  <c r="F8" i="4"/>
  <c r="E8" i="4"/>
  <c r="F7" i="4"/>
  <c r="E7" i="4"/>
  <c r="F6" i="4"/>
  <c r="E6" i="4"/>
  <c r="F49" i="3"/>
  <c r="E49" i="3"/>
  <c r="F48" i="3"/>
  <c r="E48" i="3"/>
  <c r="F47" i="3"/>
  <c r="E47" i="3"/>
  <c r="F43" i="3"/>
  <c r="E43" i="3"/>
  <c r="F42" i="3"/>
  <c r="E42" i="3"/>
  <c r="F41" i="3"/>
  <c r="E41" i="3"/>
  <c r="F37" i="3"/>
  <c r="E37" i="3"/>
  <c r="F36" i="3"/>
  <c r="E36" i="3"/>
  <c r="F35" i="3"/>
  <c r="E35" i="3"/>
  <c r="F31" i="3"/>
  <c r="E31" i="3"/>
  <c r="F30" i="3"/>
  <c r="E30" i="3"/>
  <c r="F29" i="3"/>
  <c r="E29" i="3"/>
  <c r="F25" i="3"/>
  <c r="E25" i="3"/>
  <c r="F24" i="3"/>
  <c r="E24" i="3"/>
  <c r="F23" i="3"/>
  <c r="E23" i="3"/>
  <c r="F19" i="3"/>
  <c r="E19" i="3"/>
  <c r="F18" i="3"/>
  <c r="E18" i="3"/>
  <c r="F17" i="3"/>
  <c r="E17" i="3"/>
  <c r="E13" i="3"/>
  <c r="D13" i="3"/>
  <c r="E12" i="3"/>
  <c r="D12" i="3"/>
  <c r="F8" i="3"/>
  <c r="E8" i="3"/>
  <c r="F7" i="3"/>
  <c r="E7" i="3"/>
  <c r="F6" i="3"/>
  <c r="E6" i="3"/>
  <c r="F49" i="2"/>
  <c r="E49" i="2"/>
  <c r="F48" i="2"/>
  <c r="E48" i="2"/>
  <c r="F47" i="2"/>
  <c r="E47" i="2"/>
  <c r="F43" i="2"/>
  <c r="E43" i="2"/>
  <c r="F42" i="2"/>
  <c r="E42" i="2"/>
  <c r="F41" i="2"/>
  <c r="E41" i="2"/>
  <c r="F37" i="2"/>
  <c r="E37" i="2"/>
  <c r="F36" i="2"/>
  <c r="E36" i="2"/>
  <c r="F35" i="2"/>
  <c r="E35" i="2"/>
  <c r="F31" i="2"/>
  <c r="E31" i="2"/>
  <c r="F30" i="2"/>
  <c r="E30" i="2"/>
  <c r="F29" i="2"/>
  <c r="E29" i="2"/>
  <c r="F25" i="2"/>
  <c r="E25" i="2"/>
  <c r="F24" i="2"/>
  <c r="E24" i="2"/>
  <c r="F23" i="2"/>
  <c r="E23" i="2"/>
  <c r="F19" i="2"/>
  <c r="E19" i="2"/>
  <c r="F18" i="2"/>
  <c r="E18" i="2"/>
  <c r="F17" i="2"/>
  <c r="E17" i="2"/>
  <c r="E13" i="2"/>
  <c r="D13" i="2"/>
  <c r="E12" i="2"/>
  <c r="D12" i="2"/>
  <c r="F8" i="2"/>
  <c r="E8" i="2"/>
  <c r="F7" i="2"/>
  <c r="E7" i="2"/>
  <c r="F6" i="2"/>
  <c r="E6" i="2"/>
</calcChain>
</file>

<file path=xl/sharedStrings.xml><?xml version="1.0" encoding="utf-8"?>
<sst xmlns="http://schemas.openxmlformats.org/spreadsheetml/2006/main" count="264" uniqueCount="37">
  <si>
    <t>Выбор кандидата на должность главного бухгалтера. Критерии: К1 — компетентность, К2 — опыт работы, К3 — организаторские способности.</t>
  </si>
  <si>
    <t>Матрица сравнений критериев</t>
  </si>
  <si>
    <t>К1</t>
  </si>
  <si>
    <t>К2</t>
  </si>
  <si>
    <t>К3</t>
  </si>
  <si>
    <t>Сумма</t>
  </si>
  <si>
    <t>Вес</t>
  </si>
  <si>
    <t>Матрица компетентности экспертов</t>
  </si>
  <si>
    <t>Э1</t>
  </si>
  <si>
    <t>Э2</t>
  </si>
  <si>
    <t>Оценки альтернатив по К1 (Эксперт 1)</t>
  </si>
  <si>
    <t>А1</t>
  </si>
  <si>
    <t>А2</t>
  </si>
  <si>
    <t>А3</t>
  </si>
  <si>
    <t>Оценки альтернатив по К1 (Эксперт 2)</t>
  </si>
  <si>
    <t>Оценки альтернатив по К2 (Эксперт 1)</t>
  </si>
  <si>
    <t>Оценки альтернатив по К2 (Эксперт 2)</t>
  </si>
  <si>
    <t>Оценки альтернатив по К3 (Эксперт 1)</t>
  </si>
  <si>
    <t>Оценки альтернатив по К3 (Эксперт 2)</t>
  </si>
  <si>
    <t>Расчёт общих приоритетов альтернатив</t>
  </si>
  <si>
    <t>Приоритеты альтернатив по критериям (с учётом весов экспертов)</t>
  </si>
  <si>
    <t>Общие приоритеты альтернатив</t>
  </si>
  <si>
    <t>P</t>
  </si>
  <si>
    <t>Практическая работа №2. Задание 1. Вариант 3</t>
  </si>
  <si>
    <t>Веса: w(К1)=0.333  w(К2)=0.222  w(К3)=0.444    w(Э1)=0.625  w(Э2)=0.375</t>
  </si>
  <si>
    <t>Порядок предпочтения: А2 (0.352) &gt; А1 (0.345) &gt; А3 (0.303)</t>
  </si>
  <si>
    <t>Вывод: наиболее подходящий кандидат — А2 (приоритет 0.352).</t>
  </si>
  <si>
    <t>Задание 2. Задача 1: Выбор микрофона (техническая система)</t>
  </si>
  <si>
    <t>Студия звукозаписи выбирает микрофон. А1 — конденсаторный, А2 — динамический, А3 — ленточный. К1 — качество звука, К2 — надёжность, К3 — стоимость. Э1 — звукорежиссёр, Э2 — музыкант.</t>
  </si>
  <si>
    <t>Веса: w(К1)=0.444  w(К2)=0.278  w(К3)=0.278    w(Э1)=0.625  w(Э2)=0.375</t>
  </si>
  <si>
    <t>Порядок предпочтения: А2 (0.356) &gt; А1 (0.333) &gt; А3 (0.311)</t>
  </si>
  <si>
    <t>Вывод: наиболее подходящий кандидат — А2 (приоритет 0.356).</t>
  </si>
  <si>
    <t>Задание 2. Задача 2: Выбор ВУЗа для магистратуры (социально-экономическая система)</t>
  </si>
  <si>
    <t>Абитуриент выбирает ВУЗ. А1 — ГУАП, А2 — ИТМО, А3 — Политех. К1 — качество образования, К2 — трудоустройство, К3 — стоимость обучения. Э1 — преподаватель, Э2 — работодатель.</t>
  </si>
  <si>
    <t>Веса: w(К1)=0.444  w(К2)=0.333  w(К3)=0.222    w(Э1)=0.500  w(Э2)=0.500</t>
  </si>
  <si>
    <t>Порядок предпочтения: А2 (0.364) &gt; А3 (0.324) &gt; А1 (0.312)</t>
  </si>
  <si>
    <t>Вывод: наиболее подходящий кандидат — А2 (приоритет 0.364).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</si>
</sst>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10"/>
      <name val="Calibri"/>
    </font>
    <font>
      <b/>
      <sz val="11"/>
      <color rgb="FF2F5496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workbookViewId="0">
      <selection activeCell="A67" sqref="A67:G67"/>
    </sheetView>
  </sheetViews>
  <sheetFormatPr defaultRowHeight="15" x14ac:dyDescent="0.25"/>
  <cols>
    <col min="1" max="1" width="14" customWidth="1"/>
    <col min="2" max="8" width="12" customWidth="1"/>
  </cols>
  <sheetData>
    <row r="1" spans="1:7" ht="17.25" x14ac:dyDescent="0.3">
      <c r="A1" s="10" t="s">
        <v>23</v>
      </c>
      <c r="B1" s="8"/>
      <c r="C1" s="8"/>
      <c r="D1" s="8"/>
      <c r="E1" s="8"/>
      <c r="F1" s="8"/>
      <c r="G1" s="8"/>
    </row>
    <row r="2" spans="1:7" x14ac:dyDescent="0.25">
      <c r="A2" s="12" t="s">
        <v>0</v>
      </c>
      <c r="B2" s="8"/>
      <c r="C2" s="8"/>
      <c r="D2" s="8"/>
      <c r="E2" s="8"/>
      <c r="F2" s="8"/>
      <c r="G2" s="8"/>
    </row>
    <row r="4" spans="1:7" x14ac:dyDescent="0.25">
      <c r="A4" s="7" t="s">
        <v>1</v>
      </c>
      <c r="B4" s="8"/>
      <c r="C4" s="8"/>
      <c r="D4" s="8"/>
      <c r="E4" s="8"/>
      <c r="F4" s="8"/>
    </row>
    <row r="5" spans="1:7" x14ac:dyDescent="0.2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7" x14ac:dyDescent="0.25">
      <c r="A6" s="2" t="s">
        <v>2</v>
      </c>
      <c r="B6" s="3">
        <v>1</v>
      </c>
      <c r="C6" s="3">
        <v>1.5</v>
      </c>
      <c r="D6" s="3">
        <v>0.5</v>
      </c>
      <c r="E6" s="4">
        <f>SUM(B6:D6)</f>
        <v>3</v>
      </c>
      <c r="F6" s="4">
        <f>E6/SUM($E$6:$E$8)</f>
        <v>0.33333333333333331</v>
      </c>
    </row>
    <row r="7" spans="1:7" x14ac:dyDescent="0.25">
      <c r="A7" s="2" t="s">
        <v>3</v>
      </c>
      <c r="B7" s="3">
        <v>0.5</v>
      </c>
      <c r="C7" s="3">
        <v>1</v>
      </c>
      <c r="D7" s="3">
        <v>0.5</v>
      </c>
      <c r="E7" s="4">
        <f>SUM(B7:D7)</f>
        <v>2</v>
      </c>
      <c r="F7" s="4">
        <f>E7/SUM($E$6:$E$8)</f>
        <v>0.22222222222222221</v>
      </c>
    </row>
    <row r="8" spans="1:7" x14ac:dyDescent="0.25">
      <c r="A8" s="2" t="s">
        <v>4</v>
      </c>
      <c r="B8" s="3">
        <v>1.5</v>
      </c>
      <c r="C8" s="3">
        <v>1.5</v>
      </c>
      <c r="D8" s="3">
        <v>1</v>
      </c>
      <c r="E8" s="4">
        <f>SUM(B8:D8)</f>
        <v>4</v>
      </c>
      <c r="F8" s="4">
        <f>E8/SUM($E$6:$E$8)</f>
        <v>0.44444444444444442</v>
      </c>
    </row>
    <row r="10" spans="1:7" x14ac:dyDescent="0.25">
      <c r="A10" s="7" t="s">
        <v>7</v>
      </c>
      <c r="B10" s="8"/>
      <c r="C10" s="8"/>
      <c r="D10" s="8"/>
      <c r="E10" s="8"/>
    </row>
    <row r="11" spans="1:7" x14ac:dyDescent="0.25">
      <c r="A11" s="1"/>
      <c r="B11" s="1" t="s">
        <v>8</v>
      </c>
      <c r="C11" s="1" t="s">
        <v>9</v>
      </c>
      <c r="D11" s="1" t="s">
        <v>5</v>
      </c>
      <c r="E11" s="1" t="s">
        <v>6</v>
      </c>
    </row>
    <row r="12" spans="1:7" x14ac:dyDescent="0.25">
      <c r="A12" s="2" t="s">
        <v>8</v>
      </c>
      <c r="B12" s="3">
        <v>1</v>
      </c>
      <c r="C12" s="3">
        <v>1.5</v>
      </c>
      <c r="D12" s="4">
        <f>SUM(B12:C12)</f>
        <v>2.5</v>
      </c>
      <c r="E12" s="4">
        <f>D12/SUM($D$12:$D$13)</f>
        <v>0.625</v>
      </c>
    </row>
    <row r="13" spans="1:7" x14ac:dyDescent="0.25">
      <c r="A13" s="2" t="s">
        <v>9</v>
      </c>
      <c r="B13" s="3">
        <v>0.5</v>
      </c>
      <c r="C13" s="3">
        <v>1</v>
      </c>
      <c r="D13" s="4">
        <f>SUM(B13:C13)</f>
        <v>1.5</v>
      </c>
      <c r="E13" s="4">
        <f>D13/SUM($D$12:$D$13)</f>
        <v>0.375</v>
      </c>
    </row>
    <row r="15" spans="1:7" x14ac:dyDescent="0.25">
      <c r="A15" s="7" t="s">
        <v>10</v>
      </c>
      <c r="B15" s="8"/>
      <c r="C15" s="8"/>
      <c r="D15" s="8"/>
      <c r="E15" s="8"/>
      <c r="F15" s="8"/>
    </row>
    <row r="16" spans="1:7" x14ac:dyDescent="0.25">
      <c r="A16" s="1"/>
      <c r="B16" s="1" t="s">
        <v>11</v>
      </c>
      <c r="C16" s="1" t="s">
        <v>12</v>
      </c>
      <c r="D16" s="1" t="s">
        <v>13</v>
      </c>
      <c r="E16" s="1" t="s">
        <v>5</v>
      </c>
      <c r="F16" s="1" t="s">
        <v>6</v>
      </c>
    </row>
    <row r="17" spans="1:6" x14ac:dyDescent="0.25">
      <c r="A17" s="2" t="s">
        <v>11</v>
      </c>
      <c r="B17" s="3">
        <v>1</v>
      </c>
      <c r="C17" s="3">
        <v>1.5</v>
      </c>
      <c r="D17" s="3">
        <v>1.5</v>
      </c>
      <c r="E17" s="4">
        <f>SUM(B17:D17)</f>
        <v>4</v>
      </c>
      <c r="F17" s="4">
        <f>E17/SUM($E$17:$E$19)</f>
        <v>0.44444444444444442</v>
      </c>
    </row>
    <row r="18" spans="1:6" x14ac:dyDescent="0.25">
      <c r="A18" s="2" t="s">
        <v>12</v>
      </c>
      <c r="B18" s="3">
        <v>0.5</v>
      </c>
      <c r="C18" s="3">
        <v>1</v>
      </c>
      <c r="D18" s="3">
        <v>1.5</v>
      </c>
      <c r="E18" s="4">
        <f>SUM(B18:D18)</f>
        <v>3</v>
      </c>
      <c r="F18" s="4">
        <f>E18/SUM($E$17:$E$19)</f>
        <v>0.33333333333333331</v>
      </c>
    </row>
    <row r="19" spans="1:6" x14ac:dyDescent="0.25">
      <c r="A19" s="2" t="s">
        <v>13</v>
      </c>
      <c r="B19" s="3">
        <v>0.5</v>
      </c>
      <c r="C19" s="3">
        <v>0.5</v>
      </c>
      <c r="D19" s="3">
        <v>1</v>
      </c>
      <c r="E19" s="4">
        <f>SUM(B19:D19)</f>
        <v>2</v>
      </c>
      <c r="F19" s="4">
        <f>E19/SUM($E$17:$E$19)</f>
        <v>0.22222222222222221</v>
      </c>
    </row>
    <row r="21" spans="1:6" x14ac:dyDescent="0.25">
      <c r="A21" s="7" t="s">
        <v>14</v>
      </c>
      <c r="B21" s="8"/>
      <c r="C21" s="8"/>
      <c r="D21" s="8"/>
      <c r="E21" s="8"/>
      <c r="F21" s="8"/>
    </row>
    <row r="22" spans="1:6" x14ac:dyDescent="0.25">
      <c r="A22" s="1"/>
      <c r="B22" s="1" t="s">
        <v>11</v>
      </c>
      <c r="C22" s="1" t="s">
        <v>12</v>
      </c>
      <c r="D22" s="1" t="s">
        <v>13</v>
      </c>
      <c r="E22" s="1" t="s">
        <v>5</v>
      </c>
      <c r="F22" s="1" t="s">
        <v>6</v>
      </c>
    </row>
    <row r="23" spans="1:6" x14ac:dyDescent="0.25">
      <c r="A23" s="2" t="s">
        <v>11</v>
      </c>
      <c r="B23" s="3">
        <v>1</v>
      </c>
      <c r="C23" s="3">
        <v>1</v>
      </c>
      <c r="D23" s="3">
        <v>0.5</v>
      </c>
      <c r="E23" s="4">
        <f>SUM(B23:D23)</f>
        <v>2.5</v>
      </c>
      <c r="F23" s="4">
        <f>E23/SUM($E$23:$E$25)</f>
        <v>0.27777777777777779</v>
      </c>
    </row>
    <row r="24" spans="1:6" x14ac:dyDescent="0.25">
      <c r="A24" s="2" t="s">
        <v>12</v>
      </c>
      <c r="B24" s="3">
        <v>1</v>
      </c>
      <c r="C24" s="3">
        <v>1</v>
      </c>
      <c r="D24" s="3">
        <v>1</v>
      </c>
      <c r="E24" s="4">
        <f>SUM(B24:D24)</f>
        <v>3</v>
      </c>
      <c r="F24" s="4">
        <f>E24/SUM($E$23:$E$25)</f>
        <v>0.33333333333333331</v>
      </c>
    </row>
    <row r="25" spans="1:6" x14ac:dyDescent="0.25">
      <c r="A25" s="2" t="s">
        <v>13</v>
      </c>
      <c r="B25" s="3">
        <v>1.5</v>
      </c>
      <c r="C25" s="3">
        <v>1</v>
      </c>
      <c r="D25" s="3">
        <v>1</v>
      </c>
      <c r="E25" s="4">
        <f>SUM(B25:D25)</f>
        <v>3.5</v>
      </c>
      <c r="F25" s="4">
        <f>E25/SUM($E$23:$E$25)</f>
        <v>0.3888888888888889</v>
      </c>
    </row>
    <row r="27" spans="1:6" x14ac:dyDescent="0.25">
      <c r="A27" s="7" t="s">
        <v>15</v>
      </c>
      <c r="B27" s="8"/>
      <c r="C27" s="8"/>
      <c r="D27" s="8"/>
      <c r="E27" s="8"/>
      <c r="F27" s="8"/>
    </row>
    <row r="28" spans="1:6" x14ac:dyDescent="0.25">
      <c r="A28" s="1"/>
      <c r="B28" s="1" t="s">
        <v>11</v>
      </c>
      <c r="C28" s="1" t="s">
        <v>12</v>
      </c>
      <c r="D28" s="1" t="s">
        <v>13</v>
      </c>
      <c r="E28" s="1" t="s">
        <v>5</v>
      </c>
      <c r="F28" s="1" t="s">
        <v>6</v>
      </c>
    </row>
    <row r="29" spans="1:6" x14ac:dyDescent="0.25">
      <c r="A29" s="2" t="s">
        <v>11</v>
      </c>
      <c r="B29" s="3">
        <v>1</v>
      </c>
      <c r="C29" s="3">
        <v>0.5</v>
      </c>
      <c r="D29" s="3">
        <v>0.5</v>
      </c>
      <c r="E29" s="4">
        <f>SUM(B29:D29)</f>
        <v>2</v>
      </c>
      <c r="F29" s="4">
        <f>E29/SUM($E$29:$E$31)</f>
        <v>0.22222222222222221</v>
      </c>
    </row>
    <row r="30" spans="1:6" x14ac:dyDescent="0.25">
      <c r="A30" s="2" t="s">
        <v>12</v>
      </c>
      <c r="B30" s="3">
        <v>1.5</v>
      </c>
      <c r="C30" s="3">
        <v>1</v>
      </c>
      <c r="D30" s="3">
        <v>0.5</v>
      </c>
      <c r="E30" s="4">
        <f>SUM(B30:D30)</f>
        <v>3</v>
      </c>
      <c r="F30" s="4">
        <f>E30/SUM($E$29:$E$31)</f>
        <v>0.33333333333333331</v>
      </c>
    </row>
    <row r="31" spans="1:6" x14ac:dyDescent="0.25">
      <c r="A31" s="2" t="s">
        <v>13</v>
      </c>
      <c r="B31" s="3">
        <v>1.5</v>
      </c>
      <c r="C31" s="3">
        <v>1.5</v>
      </c>
      <c r="D31" s="3">
        <v>1</v>
      </c>
      <c r="E31" s="4">
        <f>SUM(B31:D31)</f>
        <v>4</v>
      </c>
      <c r="F31" s="4">
        <f>E31/SUM($E$29:$E$31)</f>
        <v>0.44444444444444442</v>
      </c>
    </row>
    <row r="33" spans="1:6" x14ac:dyDescent="0.25">
      <c r="A33" s="7" t="s">
        <v>16</v>
      </c>
      <c r="B33" s="8"/>
      <c r="C33" s="8"/>
      <c r="D33" s="8"/>
      <c r="E33" s="8"/>
      <c r="F33" s="8"/>
    </row>
    <row r="34" spans="1:6" x14ac:dyDescent="0.25">
      <c r="A34" s="1"/>
      <c r="B34" s="1" t="s">
        <v>11</v>
      </c>
      <c r="C34" s="1" t="s">
        <v>12</v>
      </c>
      <c r="D34" s="1" t="s">
        <v>13</v>
      </c>
      <c r="E34" s="1" t="s">
        <v>5</v>
      </c>
      <c r="F34" s="1" t="s">
        <v>6</v>
      </c>
    </row>
    <row r="35" spans="1:6" x14ac:dyDescent="0.25">
      <c r="A35" s="2" t="s">
        <v>11</v>
      </c>
      <c r="B35" s="3">
        <v>1</v>
      </c>
      <c r="C35" s="3">
        <v>1</v>
      </c>
      <c r="D35" s="3">
        <v>1.5</v>
      </c>
      <c r="E35" s="4">
        <f>SUM(B35:D35)</f>
        <v>3.5</v>
      </c>
      <c r="F35" s="4">
        <f>E35/SUM($E$35:$E$37)</f>
        <v>0.3888888888888889</v>
      </c>
    </row>
    <row r="36" spans="1:6" x14ac:dyDescent="0.25">
      <c r="A36" s="2" t="s">
        <v>12</v>
      </c>
      <c r="B36" s="3">
        <v>1</v>
      </c>
      <c r="C36" s="3">
        <v>1</v>
      </c>
      <c r="D36" s="3">
        <v>1</v>
      </c>
      <c r="E36" s="4">
        <f>SUM(B36:D36)</f>
        <v>3</v>
      </c>
      <c r="F36" s="4">
        <f>E36/SUM($E$35:$E$37)</f>
        <v>0.33333333333333331</v>
      </c>
    </row>
    <row r="37" spans="1:6" x14ac:dyDescent="0.25">
      <c r="A37" s="2" t="s">
        <v>13</v>
      </c>
      <c r="B37" s="3">
        <v>0.5</v>
      </c>
      <c r="C37" s="3">
        <v>1</v>
      </c>
      <c r="D37" s="3">
        <v>1</v>
      </c>
      <c r="E37" s="4">
        <f>SUM(B37:D37)</f>
        <v>2.5</v>
      </c>
      <c r="F37" s="4">
        <f>E37/SUM($E$35:$E$37)</f>
        <v>0.27777777777777779</v>
      </c>
    </row>
    <row r="39" spans="1:6" x14ac:dyDescent="0.25">
      <c r="A39" s="7" t="s">
        <v>17</v>
      </c>
      <c r="B39" s="8"/>
      <c r="C39" s="8"/>
      <c r="D39" s="8"/>
      <c r="E39" s="8"/>
      <c r="F39" s="8"/>
    </row>
    <row r="40" spans="1:6" x14ac:dyDescent="0.25">
      <c r="A40" s="1"/>
      <c r="B40" s="1" t="s">
        <v>11</v>
      </c>
      <c r="C40" s="1" t="s">
        <v>12</v>
      </c>
      <c r="D40" s="1" t="s">
        <v>13</v>
      </c>
      <c r="E40" s="1" t="s">
        <v>5</v>
      </c>
      <c r="F40" s="1" t="s">
        <v>6</v>
      </c>
    </row>
    <row r="41" spans="1:6" x14ac:dyDescent="0.25">
      <c r="A41" s="2" t="s">
        <v>11</v>
      </c>
      <c r="B41" s="3">
        <v>1</v>
      </c>
      <c r="C41" s="3">
        <v>1.5</v>
      </c>
      <c r="D41" s="3">
        <v>1</v>
      </c>
      <c r="E41" s="4">
        <f>SUM(B41:D41)</f>
        <v>3.5</v>
      </c>
      <c r="F41" s="4">
        <f>E41/SUM($E$41:$E$43)</f>
        <v>0.3888888888888889</v>
      </c>
    </row>
    <row r="42" spans="1:6" x14ac:dyDescent="0.25">
      <c r="A42" s="2" t="s">
        <v>12</v>
      </c>
      <c r="B42" s="3">
        <v>0.5</v>
      </c>
      <c r="C42" s="3">
        <v>1</v>
      </c>
      <c r="D42" s="3">
        <v>1.5</v>
      </c>
      <c r="E42" s="4">
        <f>SUM(B42:D42)</f>
        <v>3</v>
      </c>
      <c r="F42" s="4">
        <f>E42/SUM($E$41:$E$43)</f>
        <v>0.33333333333333331</v>
      </c>
    </row>
    <row r="43" spans="1:6" x14ac:dyDescent="0.25">
      <c r="A43" s="2" t="s">
        <v>13</v>
      </c>
      <c r="B43" s="3">
        <v>1</v>
      </c>
      <c r="C43" s="3">
        <v>0.5</v>
      </c>
      <c r="D43" s="3">
        <v>1</v>
      </c>
      <c r="E43" s="4">
        <f>SUM(B43:D43)</f>
        <v>2.5</v>
      </c>
      <c r="F43" s="4">
        <f>E43/SUM($E$41:$E$43)</f>
        <v>0.27777777777777779</v>
      </c>
    </row>
    <row r="45" spans="1:6" x14ac:dyDescent="0.25">
      <c r="A45" s="7" t="s">
        <v>18</v>
      </c>
      <c r="B45" s="8"/>
      <c r="C45" s="8"/>
      <c r="D45" s="8"/>
      <c r="E45" s="8"/>
      <c r="F45" s="8"/>
    </row>
    <row r="46" spans="1:6" x14ac:dyDescent="0.25">
      <c r="A46" s="1"/>
      <c r="B46" s="1" t="s">
        <v>11</v>
      </c>
      <c r="C46" s="1" t="s">
        <v>12</v>
      </c>
      <c r="D46" s="1" t="s">
        <v>13</v>
      </c>
      <c r="E46" s="1" t="s">
        <v>5</v>
      </c>
      <c r="F46" s="1" t="s">
        <v>6</v>
      </c>
    </row>
    <row r="47" spans="1:6" x14ac:dyDescent="0.25">
      <c r="A47" s="2" t="s">
        <v>11</v>
      </c>
      <c r="B47" s="3">
        <v>1</v>
      </c>
      <c r="C47" s="3">
        <v>0.5</v>
      </c>
      <c r="D47" s="3">
        <v>1</v>
      </c>
      <c r="E47" s="4">
        <f>SUM(B47:D47)</f>
        <v>2.5</v>
      </c>
      <c r="F47" s="4">
        <f>E47/SUM($E$47:$E$49)</f>
        <v>0.27777777777777779</v>
      </c>
    </row>
    <row r="48" spans="1:6" x14ac:dyDescent="0.25">
      <c r="A48" s="2" t="s">
        <v>12</v>
      </c>
      <c r="B48" s="3">
        <v>1.5</v>
      </c>
      <c r="C48" s="3">
        <v>1</v>
      </c>
      <c r="D48" s="3">
        <v>1.5</v>
      </c>
      <c r="E48" s="4">
        <f>SUM(B48:D48)</f>
        <v>4</v>
      </c>
      <c r="F48" s="4">
        <f>E48/SUM($E$47:$E$49)</f>
        <v>0.44444444444444442</v>
      </c>
    </row>
    <row r="49" spans="1:7" x14ac:dyDescent="0.25">
      <c r="A49" s="2" t="s">
        <v>13</v>
      </c>
      <c r="B49" s="3">
        <v>1</v>
      </c>
      <c r="C49" s="3">
        <v>0.5</v>
      </c>
      <c r="D49" s="3">
        <v>1</v>
      </c>
      <c r="E49" s="4">
        <f>SUM(B49:D49)</f>
        <v>2.5</v>
      </c>
      <c r="F49" s="4">
        <f>E49/SUM($E$47:$E$49)</f>
        <v>0.27777777777777779</v>
      </c>
    </row>
    <row r="52" spans="1:7" ht="17.25" x14ac:dyDescent="0.3">
      <c r="A52" s="13" t="s">
        <v>19</v>
      </c>
      <c r="B52" s="8"/>
      <c r="C52" s="8"/>
      <c r="D52" s="8"/>
      <c r="E52" s="8"/>
      <c r="F52" s="8"/>
      <c r="G52" s="8"/>
    </row>
    <row r="54" spans="1:7" x14ac:dyDescent="0.25">
      <c r="A54" s="7" t="s">
        <v>20</v>
      </c>
      <c r="B54" s="8"/>
      <c r="C54" s="8"/>
      <c r="D54" s="8"/>
      <c r="E54" s="8"/>
    </row>
    <row r="55" spans="1:7" x14ac:dyDescent="0.25">
      <c r="A55" s="1"/>
      <c r="B55" s="1" t="s">
        <v>11</v>
      </c>
      <c r="C55" s="1" t="s">
        <v>12</v>
      </c>
      <c r="D55" s="1" t="s">
        <v>13</v>
      </c>
    </row>
    <row r="56" spans="1:7" x14ac:dyDescent="0.25">
      <c r="A56" s="2" t="s">
        <v>2</v>
      </c>
      <c r="B56" s="5">
        <v>0.38194444444444448</v>
      </c>
      <c r="C56" s="5">
        <v>0.33333333333333331</v>
      </c>
      <c r="D56" s="5">
        <v>0.28472222222222221</v>
      </c>
    </row>
    <row r="57" spans="1:7" x14ac:dyDescent="0.25">
      <c r="A57" s="2" t="s">
        <v>3</v>
      </c>
      <c r="B57" s="5">
        <v>0.28472222222222221</v>
      </c>
      <c r="C57" s="5">
        <v>0.33333333333333331</v>
      </c>
      <c r="D57" s="5">
        <v>0.38194444444444448</v>
      </c>
    </row>
    <row r="58" spans="1:7" x14ac:dyDescent="0.25">
      <c r="A58" s="2" t="s">
        <v>4</v>
      </c>
      <c r="B58" s="5">
        <v>0.34722222222222221</v>
      </c>
      <c r="C58" s="5">
        <v>0.375</v>
      </c>
      <c r="D58" s="5">
        <v>0.27777777777777779</v>
      </c>
    </row>
    <row r="60" spans="1:7" x14ac:dyDescent="0.25">
      <c r="A60" s="7" t="s">
        <v>21</v>
      </c>
      <c r="B60" s="8"/>
      <c r="C60" s="8"/>
      <c r="D60" s="8"/>
      <c r="E60" s="8"/>
    </row>
    <row r="61" spans="1:7" x14ac:dyDescent="0.25">
      <c r="A61" s="1"/>
      <c r="B61" s="1" t="s">
        <v>11</v>
      </c>
      <c r="C61" s="1" t="s">
        <v>12</v>
      </c>
      <c r="D61" s="1" t="s">
        <v>13</v>
      </c>
    </row>
    <row r="62" spans="1:7" x14ac:dyDescent="0.25">
      <c r="A62" s="2" t="s">
        <v>22</v>
      </c>
      <c r="B62" s="6">
        <v>0.34490740740740738</v>
      </c>
      <c r="C62" s="6">
        <v>0.35185185185185192</v>
      </c>
      <c r="D62" s="6">
        <v>0.3032407407407407</v>
      </c>
    </row>
    <row r="64" spans="1:7" x14ac:dyDescent="0.25">
      <c r="A64" s="14" t="s">
        <v>24</v>
      </c>
      <c r="B64" s="8"/>
      <c r="C64" s="8"/>
      <c r="D64" s="8"/>
      <c r="E64" s="8"/>
      <c r="F64" s="8"/>
      <c r="G64" s="8"/>
    </row>
    <row r="66" spans="1:7" x14ac:dyDescent="0.25">
      <c r="A66" s="9" t="s">
        <v>25</v>
      </c>
      <c r="B66" s="8"/>
      <c r="C66" s="8"/>
      <c r="D66" s="8"/>
      <c r="E66" s="8"/>
      <c r="F66" s="8"/>
      <c r="G66" s="8"/>
    </row>
    <row r="67" spans="1:7" x14ac:dyDescent="0.25">
      <c r="A67" s="11" t="s">
        <v>26</v>
      </c>
      <c r="B67" s="8"/>
      <c r="C67" s="8"/>
      <c r="D67" s="8"/>
      <c r="E67" s="8"/>
      <c r="F67" s="8"/>
      <c r="G67" s="8"/>
    </row>
  </sheetData>
  <mergeCells count="16">
    <mergeCell ref="A33:F33"/>
    <mergeCell ref="A66:G66"/>
    <mergeCell ref="A1:G1"/>
    <mergeCell ref="A54:E54"/>
    <mergeCell ref="A67:G67"/>
    <mergeCell ref="A10:E10"/>
    <mergeCell ref="A45:F45"/>
    <mergeCell ref="A60:E60"/>
    <mergeCell ref="A27:F27"/>
    <mergeCell ref="A2:G2"/>
    <mergeCell ref="A52:G52"/>
    <mergeCell ref="A4:F4"/>
    <mergeCell ref="A64:G64"/>
    <mergeCell ref="A21:F21"/>
    <mergeCell ref="A39:F39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"/>
  <sheetViews>
    <sheetView workbookViewId="0">
      <selection sqref="A1:G1"/>
    </sheetView>
  </sheetViews>
  <sheetFormatPr defaultRowHeight="15" x14ac:dyDescent="0.25"/>
  <cols>
    <col min="1" max="1" width="14" customWidth="1"/>
    <col min="2" max="8" width="12" customWidth="1"/>
  </cols>
  <sheetData>
    <row r="1" spans="1:7" ht="17.25" x14ac:dyDescent="0.3">
      <c r="A1" s="10" t="s">
        <v>27</v>
      </c>
      <c r="B1" s="8"/>
      <c r="C1" s="8"/>
      <c r="D1" s="8"/>
      <c r="E1" s="8"/>
      <c r="F1" s="8"/>
      <c r="G1" s="8"/>
    </row>
    <row r="2" spans="1:7" x14ac:dyDescent="0.25">
      <c r="A2" s="12" t="s">
        <v>28</v>
      </c>
      <c r="B2" s="8"/>
      <c r="C2" s="8"/>
      <c r="D2" s="8"/>
      <c r="E2" s="8"/>
      <c r="F2" s="8"/>
      <c r="G2" s="8"/>
    </row>
    <row r="4" spans="1:7" x14ac:dyDescent="0.25">
      <c r="A4" s="7" t="s">
        <v>1</v>
      </c>
      <c r="B4" s="8"/>
      <c r="C4" s="8"/>
      <c r="D4" s="8"/>
      <c r="E4" s="8"/>
      <c r="F4" s="8"/>
    </row>
    <row r="5" spans="1:7" x14ac:dyDescent="0.2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7" x14ac:dyDescent="0.25">
      <c r="A6" s="2" t="s">
        <v>2</v>
      </c>
      <c r="B6" s="3">
        <v>1</v>
      </c>
      <c r="C6" s="3">
        <v>1.5</v>
      </c>
      <c r="D6" s="3">
        <v>1.5</v>
      </c>
      <c r="E6" s="4">
        <f>SUM(B6:D6)</f>
        <v>4</v>
      </c>
      <c r="F6" s="4">
        <f>E6/SUM($E$6:$E$8)</f>
        <v>0.44444444444444442</v>
      </c>
    </row>
    <row r="7" spans="1:7" x14ac:dyDescent="0.25">
      <c r="A7" s="2" t="s">
        <v>3</v>
      </c>
      <c r="B7" s="3">
        <v>0.5</v>
      </c>
      <c r="C7" s="3">
        <v>1</v>
      </c>
      <c r="D7" s="3">
        <v>1</v>
      </c>
      <c r="E7" s="4">
        <f>SUM(B7:D7)</f>
        <v>2.5</v>
      </c>
      <c r="F7" s="4">
        <f>E7/SUM($E$6:$E$8)</f>
        <v>0.27777777777777779</v>
      </c>
    </row>
    <row r="8" spans="1:7" x14ac:dyDescent="0.25">
      <c r="A8" s="2" t="s">
        <v>4</v>
      </c>
      <c r="B8" s="3">
        <v>0.5</v>
      </c>
      <c r="C8" s="3">
        <v>1</v>
      </c>
      <c r="D8" s="3">
        <v>1</v>
      </c>
      <c r="E8" s="4">
        <f>SUM(B8:D8)</f>
        <v>2.5</v>
      </c>
      <c r="F8" s="4">
        <f>E8/SUM($E$6:$E$8)</f>
        <v>0.27777777777777779</v>
      </c>
    </row>
    <row r="10" spans="1:7" x14ac:dyDescent="0.25">
      <c r="A10" s="7" t="s">
        <v>7</v>
      </c>
      <c r="B10" s="8"/>
      <c r="C10" s="8"/>
      <c r="D10" s="8"/>
      <c r="E10" s="8"/>
    </row>
    <row r="11" spans="1:7" x14ac:dyDescent="0.25">
      <c r="A11" s="1"/>
      <c r="B11" s="1" t="s">
        <v>8</v>
      </c>
      <c r="C11" s="1" t="s">
        <v>9</v>
      </c>
      <c r="D11" s="1" t="s">
        <v>5</v>
      </c>
      <c r="E11" s="1" t="s">
        <v>6</v>
      </c>
    </row>
    <row r="12" spans="1:7" x14ac:dyDescent="0.25">
      <c r="A12" s="2" t="s">
        <v>8</v>
      </c>
      <c r="B12" s="3">
        <v>1</v>
      </c>
      <c r="C12" s="3">
        <v>1.5</v>
      </c>
      <c r="D12" s="4">
        <f>SUM(B12:C12)</f>
        <v>2.5</v>
      </c>
      <c r="E12" s="4">
        <f>D12/SUM($D$12:$D$13)</f>
        <v>0.625</v>
      </c>
    </row>
    <row r="13" spans="1:7" x14ac:dyDescent="0.25">
      <c r="A13" s="2" t="s">
        <v>9</v>
      </c>
      <c r="B13" s="3">
        <v>0.5</v>
      </c>
      <c r="C13" s="3">
        <v>1</v>
      </c>
      <c r="D13" s="4">
        <f>SUM(B13:C13)</f>
        <v>1.5</v>
      </c>
      <c r="E13" s="4">
        <f>D13/SUM($D$12:$D$13)</f>
        <v>0.375</v>
      </c>
    </row>
    <row r="15" spans="1:7" x14ac:dyDescent="0.25">
      <c r="A15" s="7" t="s">
        <v>10</v>
      </c>
      <c r="B15" s="8"/>
      <c r="C15" s="8"/>
      <c r="D15" s="8"/>
      <c r="E15" s="8"/>
      <c r="F15" s="8"/>
    </row>
    <row r="16" spans="1:7" x14ac:dyDescent="0.25">
      <c r="A16" s="1"/>
      <c r="B16" s="1" t="s">
        <v>11</v>
      </c>
      <c r="C16" s="1" t="s">
        <v>12</v>
      </c>
      <c r="D16" s="1" t="s">
        <v>13</v>
      </c>
      <c r="E16" s="1" t="s">
        <v>5</v>
      </c>
      <c r="F16" s="1" t="s">
        <v>6</v>
      </c>
    </row>
    <row r="17" spans="1:6" x14ac:dyDescent="0.25">
      <c r="A17" s="2" t="s">
        <v>11</v>
      </c>
      <c r="B17" s="3">
        <v>1</v>
      </c>
      <c r="C17" s="3">
        <v>1.5</v>
      </c>
      <c r="D17" s="3">
        <v>1</v>
      </c>
      <c r="E17" s="4">
        <f>SUM(B17:D17)</f>
        <v>3.5</v>
      </c>
      <c r="F17" s="4">
        <f>E17/SUM($E$17:$E$19)</f>
        <v>0.3888888888888889</v>
      </c>
    </row>
    <row r="18" spans="1:6" x14ac:dyDescent="0.25">
      <c r="A18" s="2" t="s">
        <v>12</v>
      </c>
      <c r="B18" s="3">
        <v>0.5</v>
      </c>
      <c r="C18" s="3">
        <v>1</v>
      </c>
      <c r="D18" s="3">
        <v>0.5</v>
      </c>
      <c r="E18" s="4">
        <f>SUM(B18:D18)</f>
        <v>2</v>
      </c>
      <c r="F18" s="4">
        <f>E18/SUM($E$17:$E$19)</f>
        <v>0.22222222222222221</v>
      </c>
    </row>
    <row r="19" spans="1:6" x14ac:dyDescent="0.25">
      <c r="A19" s="2" t="s">
        <v>13</v>
      </c>
      <c r="B19" s="3">
        <v>1</v>
      </c>
      <c r="C19" s="3">
        <v>1.5</v>
      </c>
      <c r="D19" s="3">
        <v>1</v>
      </c>
      <c r="E19" s="4">
        <f>SUM(B19:D19)</f>
        <v>3.5</v>
      </c>
      <c r="F19" s="4">
        <f>E19/SUM($E$17:$E$19)</f>
        <v>0.3888888888888889</v>
      </c>
    </row>
    <row r="21" spans="1:6" x14ac:dyDescent="0.25">
      <c r="A21" s="7" t="s">
        <v>14</v>
      </c>
      <c r="B21" s="8"/>
      <c r="C21" s="8"/>
      <c r="D21" s="8"/>
      <c r="E21" s="8"/>
      <c r="F21" s="8"/>
    </row>
    <row r="22" spans="1:6" x14ac:dyDescent="0.25">
      <c r="A22" s="1"/>
      <c r="B22" s="1" t="s">
        <v>11</v>
      </c>
      <c r="C22" s="1" t="s">
        <v>12</v>
      </c>
      <c r="D22" s="1" t="s">
        <v>13</v>
      </c>
      <c r="E22" s="1" t="s">
        <v>5</v>
      </c>
      <c r="F22" s="1" t="s">
        <v>6</v>
      </c>
    </row>
    <row r="23" spans="1:6" x14ac:dyDescent="0.25">
      <c r="A23" s="2" t="s">
        <v>11</v>
      </c>
      <c r="B23" s="3">
        <v>1</v>
      </c>
      <c r="C23" s="3">
        <v>1</v>
      </c>
      <c r="D23" s="3">
        <v>1.5</v>
      </c>
      <c r="E23" s="4">
        <f>SUM(B23:D23)</f>
        <v>3.5</v>
      </c>
      <c r="F23" s="4">
        <f>E23/SUM($E$23:$E$25)</f>
        <v>0.3888888888888889</v>
      </c>
    </row>
    <row r="24" spans="1:6" x14ac:dyDescent="0.25">
      <c r="A24" s="2" t="s">
        <v>12</v>
      </c>
      <c r="B24" s="3">
        <v>1</v>
      </c>
      <c r="C24" s="3">
        <v>1</v>
      </c>
      <c r="D24" s="3">
        <v>1.5</v>
      </c>
      <c r="E24" s="4">
        <f>SUM(B24:D24)</f>
        <v>3.5</v>
      </c>
      <c r="F24" s="4">
        <f>E24/SUM($E$23:$E$25)</f>
        <v>0.3888888888888889</v>
      </c>
    </row>
    <row r="25" spans="1:6" x14ac:dyDescent="0.25">
      <c r="A25" s="2" t="s">
        <v>13</v>
      </c>
      <c r="B25" s="3">
        <v>0.5</v>
      </c>
      <c r="C25" s="3">
        <v>0.5</v>
      </c>
      <c r="D25" s="3">
        <v>1</v>
      </c>
      <c r="E25" s="4">
        <f>SUM(B25:D25)</f>
        <v>2</v>
      </c>
      <c r="F25" s="4">
        <f>E25/SUM($E$23:$E$25)</f>
        <v>0.22222222222222221</v>
      </c>
    </row>
    <row r="27" spans="1:6" x14ac:dyDescent="0.25">
      <c r="A27" s="7" t="s">
        <v>15</v>
      </c>
      <c r="B27" s="8"/>
      <c r="C27" s="8"/>
      <c r="D27" s="8"/>
      <c r="E27" s="8"/>
      <c r="F27" s="8"/>
    </row>
    <row r="28" spans="1:6" x14ac:dyDescent="0.25">
      <c r="A28" s="1"/>
      <c r="B28" s="1" t="s">
        <v>11</v>
      </c>
      <c r="C28" s="1" t="s">
        <v>12</v>
      </c>
      <c r="D28" s="1" t="s">
        <v>13</v>
      </c>
      <c r="E28" s="1" t="s">
        <v>5</v>
      </c>
      <c r="F28" s="1" t="s">
        <v>6</v>
      </c>
    </row>
    <row r="29" spans="1:6" x14ac:dyDescent="0.25">
      <c r="A29" s="2" t="s">
        <v>11</v>
      </c>
      <c r="B29" s="3">
        <v>1</v>
      </c>
      <c r="C29" s="3">
        <v>0.5</v>
      </c>
      <c r="D29" s="3">
        <v>1</v>
      </c>
      <c r="E29" s="4">
        <f>SUM(B29:D29)</f>
        <v>2.5</v>
      </c>
      <c r="F29" s="4">
        <f>E29/SUM($E$29:$E$31)</f>
        <v>0.27777777777777779</v>
      </c>
    </row>
    <row r="30" spans="1:6" x14ac:dyDescent="0.25">
      <c r="A30" s="2" t="s">
        <v>12</v>
      </c>
      <c r="B30" s="3">
        <v>1.5</v>
      </c>
      <c r="C30" s="3">
        <v>1</v>
      </c>
      <c r="D30" s="3">
        <v>1.5</v>
      </c>
      <c r="E30" s="4">
        <f>SUM(B30:D30)</f>
        <v>4</v>
      </c>
      <c r="F30" s="4">
        <f>E30/SUM($E$29:$E$31)</f>
        <v>0.44444444444444442</v>
      </c>
    </row>
    <row r="31" spans="1:6" x14ac:dyDescent="0.25">
      <c r="A31" s="2" t="s">
        <v>13</v>
      </c>
      <c r="B31" s="3">
        <v>1</v>
      </c>
      <c r="C31" s="3">
        <v>0.5</v>
      </c>
      <c r="D31" s="3">
        <v>1</v>
      </c>
      <c r="E31" s="4">
        <f>SUM(B31:D31)</f>
        <v>2.5</v>
      </c>
      <c r="F31" s="4">
        <f>E31/SUM($E$29:$E$31)</f>
        <v>0.27777777777777779</v>
      </c>
    </row>
    <row r="33" spans="1:6" x14ac:dyDescent="0.25">
      <c r="A33" s="7" t="s">
        <v>16</v>
      </c>
      <c r="B33" s="8"/>
      <c r="C33" s="8"/>
      <c r="D33" s="8"/>
      <c r="E33" s="8"/>
      <c r="F33" s="8"/>
    </row>
    <row r="34" spans="1:6" x14ac:dyDescent="0.25">
      <c r="A34" s="1"/>
      <c r="B34" s="1" t="s">
        <v>11</v>
      </c>
      <c r="C34" s="1" t="s">
        <v>12</v>
      </c>
      <c r="D34" s="1" t="s">
        <v>13</v>
      </c>
      <c r="E34" s="1" t="s">
        <v>5</v>
      </c>
      <c r="F34" s="1" t="s">
        <v>6</v>
      </c>
    </row>
    <row r="35" spans="1:6" x14ac:dyDescent="0.25">
      <c r="A35" s="2" t="s">
        <v>11</v>
      </c>
      <c r="B35" s="3">
        <v>1</v>
      </c>
      <c r="C35" s="3">
        <v>0.5</v>
      </c>
      <c r="D35" s="3">
        <v>0.5</v>
      </c>
      <c r="E35" s="4">
        <f>SUM(B35:D35)</f>
        <v>2</v>
      </c>
      <c r="F35" s="4">
        <f>E35/SUM($E$35:$E$37)</f>
        <v>0.22222222222222221</v>
      </c>
    </row>
    <row r="36" spans="1:6" x14ac:dyDescent="0.25">
      <c r="A36" s="2" t="s">
        <v>12</v>
      </c>
      <c r="B36" s="3">
        <v>1.5</v>
      </c>
      <c r="C36" s="3">
        <v>1</v>
      </c>
      <c r="D36" s="3">
        <v>1</v>
      </c>
      <c r="E36" s="4">
        <f>SUM(B36:D36)</f>
        <v>3.5</v>
      </c>
      <c r="F36" s="4">
        <f>E36/SUM($E$35:$E$37)</f>
        <v>0.3888888888888889</v>
      </c>
    </row>
    <row r="37" spans="1:6" x14ac:dyDescent="0.25">
      <c r="A37" s="2" t="s">
        <v>13</v>
      </c>
      <c r="B37" s="3">
        <v>1.5</v>
      </c>
      <c r="C37" s="3">
        <v>1</v>
      </c>
      <c r="D37" s="3">
        <v>1</v>
      </c>
      <c r="E37" s="4">
        <f>SUM(B37:D37)</f>
        <v>3.5</v>
      </c>
      <c r="F37" s="4">
        <f>E37/SUM($E$35:$E$37)</f>
        <v>0.3888888888888889</v>
      </c>
    </row>
    <row r="39" spans="1:6" x14ac:dyDescent="0.25">
      <c r="A39" s="7" t="s">
        <v>17</v>
      </c>
      <c r="B39" s="8"/>
      <c r="C39" s="8"/>
      <c r="D39" s="8"/>
      <c r="E39" s="8"/>
      <c r="F39" s="8"/>
    </row>
    <row r="40" spans="1:6" x14ac:dyDescent="0.25">
      <c r="A40" s="1"/>
      <c r="B40" s="1" t="s">
        <v>11</v>
      </c>
      <c r="C40" s="1" t="s">
        <v>12</v>
      </c>
      <c r="D40" s="1" t="s">
        <v>13</v>
      </c>
      <c r="E40" s="1" t="s">
        <v>5</v>
      </c>
      <c r="F40" s="1" t="s">
        <v>6</v>
      </c>
    </row>
    <row r="41" spans="1:6" x14ac:dyDescent="0.25">
      <c r="A41" s="2" t="s">
        <v>11</v>
      </c>
      <c r="B41" s="3">
        <v>1</v>
      </c>
      <c r="C41" s="3">
        <v>0.5</v>
      </c>
      <c r="D41" s="3">
        <v>1</v>
      </c>
      <c r="E41" s="4">
        <f>SUM(B41:D41)</f>
        <v>2.5</v>
      </c>
      <c r="F41" s="4">
        <f>E41/SUM($E$41:$E$43)</f>
        <v>0.27777777777777779</v>
      </c>
    </row>
    <row r="42" spans="1:6" x14ac:dyDescent="0.25">
      <c r="A42" s="2" t="s">
        <v>12</v>
      </c>
      <c r="B42" s="3">
        <v>1.5</v>
      </c>
      <c r="C42" s="3">
        <v>1</v>
      </c>
      <c r="D42" s="3">
        <v>1.5</v>
      </c>
      <c r="E42" s="4">
        <f>SUM(B42:D42)</f>
        <v>4</v>
      </c>
      <c r="F42" s="4">
        <f>E42/SUM($E$41:$E$43)</f>
        <v>0.44444444444444442</v>
      </c>
    </row>
    <row r="43" spans="1:6" x14ac:dyDescent="0.25">
      <c r="A43" s="2" t="s">
        <v>13</v>
      </c>
      <c r="B43" s="3">
        <v>1</v>
      </c>
      <c r="C43" s="3">
        <v>0.5</v>
      </c>
      <c r="D43" s="3">
        <v>1</v>
      </c>
      <c r="E43" s="4">
        <f>SUM(B43:D43)</f>
        <v>2.5</v>
      </c>
      <c r="F43" s="4">
        <f>E43/SUM($E$41:$E$43)</f>
        <v>0.27777777777777779</v>
      </c>
    </row>
    <row r="45" spans="1:6" x14ac:dyDescent="0.25">
      <c r="A45" s="7" t="s">
        <v>18</v>
      </c>
      <c r="B45" s="8"/>
      <c r="C45" s="8"/>
      <c r="D45" s="8"/>
      <c r="E45" s="8"/>
      <c r="F45" s="8"/>
    </row>
    <row r="46" spans="1:6" x14ac:dyDescent="0.25">
      <c r="A46" s="1"/>
      <c r="B46" s="1" t="s">
        <v>11</v>
      </c>
      <c r="C46" s="1" t="s">
        <v>12</v>
      </c>
      <c r="D46" s="1" t="s">
        <v>13</v>
      </c>
      <c r="E46" s="1" t="s">
        <v>5</v>
      </c>
      <c r="F46" s="1" t="s">
        <v>6</v>
      </c>
    </row>
    <row r="47" spans="1:6" x14ac:dyDescent="0.25">
      <c r="A47" s="2" t="s">
        <v>11</v>
      </c>
      <c r="B47" s="3">
        <v>1</v>
      </c>
      <c r="C47" s="3">
        <v>1</v>
      </c>
      <c r="D47" s="3">
        <v>1.5</v>
      </c>
      <c r="E47" s="4">
        <f>SUM(B47:D47)</f>
        <v>3.5</v>
      </c>
      <c r="F47" s="4">
        <f>E47/SUM($E$47:$E$49)</f>
        <v>0.3888888888888889</v>
      </c>
    </row>
    <row r="48" spans="1:6" x14ac:dyDescent="0.25">
      <c r="A48" s="2" t="s">
        <v>12</v>
      </c>
      <c r="B48" s="3">
        <v>1</v>
      </c>
      <c r="C48" s="3">
        <v>1</v>
      </c>
      <c r="D48" s="3">
        <v>1</v>
      </c>
      <c r="E48" s="4">
        <f>SUM(B48:D48)</f>
        <v>3</v>
      </c>
      <c r="F48" s="4">
        <f>E48/SUM($E$47:$E$49)</f>
        <v>0.33333333333333331</v>
      </c>
    </row>
    <row r="49" spans="1:7" x14ac:dyDescent="0.25">
      <c r="A49" s="2" t="s">
        <v>13</v>
      </c>
      <c r="B49" s="3">
        <v>0.5</v>
      </c>
      <c r="C49" s="3">
        <v>1</v>
      </c>
      <c r="D49" s="3">
        <v>1</v>
      </c>
      <c r="E49" s="4">
        <f>SUM(B49:D49)</f>
        <v>2.5</v>
      </c>
      <c r="F49" s="4">
        <f>E49/SUM($E$47:$E$49)</f>
        <v>0.27777777777777779</v>
      </c>
    </row>
    <row r="52" spans="1:7" ht="17.25" x14ac:dyDescent="0.3">
      <c r="A52" s="13" t="s">
        <v>19</v>
      </c>
      <c r="B52" s="8"/>
      <c r="C52" s="8"/>
      <c r="D52" s="8"/>
      <c r="E52" s="8"/>
      <c r="F52" s="8"/>
      <c r="G52" s="8"/>
    </row>
    <row r="54" spans="1:7" x14ac:dyDescent="0.25">
      <c r="A54" s="7" t="s">
        <v>20</v>
      </c>
      <c r="B54" s="8"/>
      <c r="C54" s="8"/>
      <c r="D54" s="8"/>
      <c r="E54" s="8"/>
    </row>
    <row r="55" spans="1:7" x14ac:dyDescent="0.25">
      <c r="A55" s="1"/>
      <c r="B55" s="1" t="s">
        <v>11</v>
      </c>
      <c r="C55" s="1" t="s">
        <v>12</v>
      </c>
      <c r="D55" s="1" t="s">
        <v>13</v>
      </c>
    </row>
    <row r="56" spans="1:7" x14ac:dyDescent="0.25">
      <c r="A56" s="2" t="s">
        <v>2</v>
      </c>
      <c r="B56" s="5">
        <v>0.3888888888888889</v>
      </c>
      <c r="C56" s="5">
        <v>0.28472222222222221</v>
      </c>
      <c r="D56" s="5">
        <v>0.3263888888888889</v>
      </c>
    </row>
    <row r="57" spans="1:7" x14ac:dyDescent="0.25">
      <c r="A57" s="2" t="s">
        <v>3</v>
      </c>
      <c r="B57" s="5">
        <v>0.25694444444444442</v>
      </c>
      <c r="C57" s="5">
        <v>0.42361111111111122</v>
      </c>
      <c r="D57" s="5">
        <v>0.31944444444444442</v>
      </c>
    </row>
    <row r="58" spans="1:7" x14ac:dyDescent="0.25">
      <c r="A58" s="2" t="s">
        <v>4</v>
      </c>
      <c r="B58" s="5">
        <v>0.31944444444444442</v>
      </c>
      <c r="C58" s="5">
        <v>0.40277777777777779</v>
      </c>
      <c r="D58" s="5">
        <v>0.27777777777777779</v>
      </c>
    </row>
    <row r="60" spans="1:7" x14ac:dyDescent="0.25">
      <c r="A60" s="7" t="s">
        <v>21</v>
      </c>
      <c r="B60" s="8"/>
      <c r="C60" s="8"/>
      <c r="D60" s="8"/>
      <c r="E60" s="8"/>
    </row>
    <row r="61" spans="1:7" x14ac:dyDescent="0.25">
      <c r="A61" s="1"/>
      <c r="B61" s="1" t="s">
        <v>11</v>
      </c>
      <c r="C61" s="1" t="s">
        <v>12</v>
      </c>
      <c r="D61" s="1" t="s">
        <v>13</v>
      </c>
    </row>
    <row r="62" spans="1:7" x14ac:dyDescent="0.25">
      <c r="A62" s="2" t="s">
        <v>22</v>
      </c>
      <c r="B62" s="6">
        <v>0.33294753086419748</v>
      </c>
      <c r="C62" s="6">
        <v>0.35609567901234568</v>
      </c>
      <c r="D62" s="6">
        <v>0.31095679012345678</v>
      </c>
    </row>
    <row r="64" spans="1:7" x14ac:dyDescent="0.25">
      <c r="A64" s="14" t="s">
        <v>29</v>
      </c>
      <c r="B64" s="8"/>
      <c r="C64" s="8"/>
      <c r="D64" s="8"/>
      <c r="E64" s="8"/>
      <c r="F64" s="8"/>
      <c r="G64" s="8"/>
    </row>
    <row r="66" spans="1:7" x14ac:dyDescent="0.25">
      <c r="A66" s="9" t="s">
        <v>30</v>
      </c>
      <c r="B66" s="8"/>
      <c r="C66" s="8"/>
      <c r="D66" s="8"/>
      <c r="E66" s="8"/>
      <c r="F66" s="8"/>
      <c r="G66" s="8"/>
    </row>
    <row r="67" spans="1:7" x14ac:dyDescent="0.25">
      <c r="A67" s="11" t="s">
        <v>31</v>
      </c>
      <c r="B67" s="8"/>
      <c r="C67" s="8"/>
      <c r="D67" s="8"/>
      <c r="E67" s="8"/>
      <c r="F67" s="8"/>
      <c r="G67" s="8"/>
    </row>
  </sheetData>
  <mergeCells count="16">
    <mergeCell ref="A33:F33"/>
    <mergeCell ref="A66:G66"/>
    <mergeCell ref="A1:G1"/>
    <mergeCell ref="A54:E54"/>
    <mergeCell ref="A67:G67"/>
    <mergeCell ref="A10:E10"/>
    <mergeCell ref="A45:F45"/>
    <mergeCell ref="A60:E60"/>
    <mergeCell ref="A27:F27"/>
    <mergeCell ref="A2:G2"/>
    <mergeCell ref="A52:G52"/>
    <mergeCell ref="A4:F4"/>
    <mergeCell ref="A64:G64"/>
    <mergeCell ref="A21:F21"/>
    <mergeCell ref="A39:F39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7"/>
  <sheetViews>
    <sheetView tabSelected="1" workbookViewId="0">
      <selection activeCell="H16" sqref="H16"/>
    </sheetView>
  </sheetViews>
  <sheetFormatPr defaultRowHeight="15" x14ac:dyDescent="0.25"/>
  <cols>
    <col min="1" max="1" width="14" customWidth="1"/>
    <col min="2" max="8" width="12" customWidth="1"/>
  </cols>
  <sheetData>
    <row r="1" spans="1:7" ht="17.25" x14ac:dyDescent="0.3">
      <c r="A1" s="10" t="s">
        <v>32</v>
      </c>
      <c r="B1" s="8"/>
      <c r="C1" s="8"/>
      <c r="D1" s="8"/>
      <c r="E1" s="8"/>
      <c r="F1" s="8"/>
      <c r="G1" s="8"/>
    </row>
    <row r="2" spans="1:7" x14ac:dyDescent="0.25">
      <c r="A2" s="12" t="s">
        <v>33</v>
      </c>
      <c r="B2" s="8"/>
      <c r="C2" s="8"/>
      <c r="D2" s="8"/>
      <c r="E2" s="8"/>
      <c r="F2" s="8"/>
      <c r="G2" s="8"/>
    </row>
    <row r="4" spans="1:7" x14ac:dyDescent="0.25">
      <c r="A4" s="7" t="s">
        <v>1</v>
      </c>
      <c r="B4" s="8"/>
      <c r="C4" s="8"/>
      <c r="D4" s="8"/>
      <c r="E4" s="8"/>
      <c r="F4" s="8"/>
    </row>
    <row r="5" spans="1:7" x14ac:dyDescent="0.2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7" x14ac:dyDescent="0.25">
      <c r="A6" s="2" t="s">
        <v>2</v>
      </c>
      <c r="B6" s="3">
        <v>1</v>
      </c>
      <c r="C6" s="3">
        <v>1.5</v>
      </c>
      <c r="D6" s="3">
        <v>1.5</v>
      </c>
      <c r="E6" s="4">
        <f>SUM(B6:D6)</f>
        <v>4</v>
      </c>
      <c r="F6" s="4">
        <f>E6/SUM($E$6:$E$8)</f>
        <v>0.44444444444444442</v>
      </c>
    </row>
    <row r="7" spans="1:7" x14ac:dyDescent="0.25">
      <c r="A7" s="2" t="s">
        <v>3</v>
      </c>
      <c r="B7" s="3">
        <v>0.5</v>
      </c>
      <c r="C7" s="3">
        <v>1</v>
      </c>
      <c r="D7" s="3">
        <v>1.5</v>
      </c>
      <c r="E7" s="4">
        <f>SUM(B7:D7)</f>
        <v>3</v>
      </c>
      <c r="F7" s="4">
        <f>E7/SUM($E$6:$E$8)</f>
        <v>0.33333333333333331</v>
      </c>
    </row>
    <row r="8" spans="1:7" x14ac:dyDescent="0.25">
      <c r="A8" s="2" t="s">
        <v>4</v>
      </c>
      <c r="B8" s="3">
        <v>0.5</v>
      </c>
      <c r="C8" s="3">
        <v>0.5</v>
      </c>
      <c r="D8" s="3">
        <v>1</v>
      </c>
      <c r="E8" s="4">
        <f>SUM(B8:D8)</f>
        <v>2</v>
      </c>
      <c r="F8" s="4">
        <f>E8/SUM($E$6:$E$8)</f>
        <v>0.22222222222222221</v>
      </c>
    </row>
    <row r="10" spans="1:7" x14ac:dyDescent="0.25">
      <c r="A10" s="7" t="s">
        <v>7</v>
      </c>
      <c r="B10" s="8"/>
      <c r="C10" s="8"/>
      <c r="D10" s="8"/>
      <c r="E10" s="8"/>
    </row>
    <row r="11" spans="1:7" x14ac:dyDescent="0.25">
      <c r="A11" s="1"/>
      <c r="B11" s="1" t="s">
        <v>8</v>
      </c>
      <c r="C11" s="1" t="s">
        <v>9</v>
      </c>
      <c r="D11" s="1" t="s">
        <v>5</v>
      </c>
      <c r="E11" s="1" t="s">
        <v>6</v>
      </c>
    </row>
    <row r="12" spans="1:7" x14ac:dyDescent="0.25">
      <c r="A12" s="2" t="s">
        <v>8</v>
      </c>
      <c r="B12" s="3">
        <v>1</v>
      </c>
      <c r="C12" s="3">
        <v>1</v>
      </c>
      <c r="D12" s="4">
        <f>SUM(B12:C12)</f>
        <v>2</v>
      </c>
      <c r="E12" s="4">
        <f>D12/SUM($D$12:$D$13)</f>
        <v>0.5</v>
      </c>
    </row>
    <row r="13" spans="1:7" x14ac:dyDescent="0.25">
      <c r="A13" s="2" t="s">
        <v>9</v>
      </c>
      <c r="B13" s="3">
        <v>1</v>
      </c>
      <c r="C13" s="3">
        <v>1</v>
      </c>
      <c r="D13" s="4">
        <f>SUM(B13:C13)</f>
        <v>2</v>
      </c>
      <c r="E13" s="4">
        <f>D13/SUM($D$12:$D$13)</f>
        <v>0.5</v>
      </c>
    </row>
    <row r="15" spans="1:7" x14ac:dyDescent="0.25">
      <c r="A15" s="7" t="s">
        <v>10</v>
      </c>
      <c r="B15" s="8"/>
      <c r="C15" s="8"/>
      <c r="D15" s="8"/>
      <c r="E15" s="8"/>
      <c r="F15" s="8"/>
    </row>
    <row r="16" spans="1:7" x14ac:dyDescent="0.25">
      <c r="A16" s="1"/>
      <c r="B16" s="1" t="s">
        <v>11</v>
      </c>
      <c r="C16" s="1" t="s">
        <v>12</v>
      </c>
      <c r="D16" s="1" t="s">
        <v>13</v>
      </c>
      <c r="E16" s="1" t="s">
        <v>5</v>
      </c>
      <c r="F16" s="1" t="s">
        <v>6</v>
      </c>
    </row>
    <row r="17" spans="1:6" x14ac:dyDescent="0.25">
      <c r="A17" s="2" t="s">
        <v>11</v>
      </c>
      <c r="B17" s="3">
        <v>1</v>
      </c>
      <c r="C17" s="3">
        <v>0.5</v>
      </c>
      <c r="D17" s="3">
        <v>1</v>
      </c>
      <c r="E17" s="4">
        <f>SUM(B17:D17)</f>
        <v>2.5</v>
      </c>
      <c r="F17" s="4">
        <f>E17/SUM($E$17:$E$19)</f>
        <v>0.27777777777777779</v>
      </c>
    </row>
    <row r="18" spans="1:6" x14ac:dyDescent="0.25">
      <c r="A18" s="2" t="s">
        <v>12</v>
      </c>
      <c r="B18" s="3">
        <v>1.5</v>
      </c>
      <c r="C18" s="3">
        <v>1</v>
      </c>
      <c r="D18" s="3">
        <v>1.5</v>
      </c>
      <c r="E18" s="4">
        <f>SUM(B18:D18)</f>
        <v>4</v>
      </c>
      <c r="F18" s="4">
        <f>E18/SUM($E$17:$E$19)</f>
        <v>0.44444444444444442</v>
      </c>
    </row>
    <row r="19" spans="1:6" x14ac:dyDescent="0.25">
      <c r="A19" s="2" t="s">
        <v>13</v>
      </c>
      <c r="B19" s="3">
        <v>1</v>
      </c>
      <c r="C19" s="3">
        <v>0.5</v>
      </c>
      <c r="D19" s="3">
        <v>1</v>
      </c>
      <c r="E19" s="4">
        <f>SUM(B19:D19)</f>
        <v>2.5</v>
      </c>
      <c r="F19" s="4">
        <f>E19/SUM($E$17:$E$19)</f>
        <v>0.27777777777777779</v>
      </c>
    </row>
    <row r="21" spans="1:6" x14ac:dyDescent="0.25">
      <c r="A21" s="7" t="s">
        <v>14</v>
      </c>
      <c r="B21" s="8"/>
      <c r="C21" s="8"/>
      <c r="D21" s="8"/>
      <c r="E21" s="8"/>
      <c r="F21" s="8"/>
    </row>
    <row r="22" spans="1:6" x14ac:dyDescent="0.25">
      <c r="A22" s="1"/>
      <c r="B22" s="1" t="s">
        <v>11</v>
      </c>
      <c r="C22" s="1" t="s">
        <v>12</v>
      </c>
      <c r="D22" s="1" t="s">
        <v>13</v>
      </c>
      <c r="E22" s="1" t="s">
        <v>5</v>
      </c>
      <c r="F22" s="1" t="s">
        <v>6</v>
      </c>
    </row>
    <row r="23" spans="1:6" x14ac:dyDescent="0.25">
      <c r="A23" s="2" t="s">
        <v>11</v>
      </c>
      <c r="B23" s="3">
        <v>1</v>
      </c>
      <c r="C23" s="3">
        <v>0.5</v>
      </c>
      <c r="D23" s="3">
        <v>1.5</v>
      </c>
      <c r="E23" s="4">
        <f>SUM(B23:D23)</f>
        <v>3</v>
      </c>
      <c r="F23" s="4">
        <f>E23/SUM($E$23:$E$25)</f>
        <v>0.33333333333333331</v>
      </c>
    </row>
    <row r="24" spans="1:6" x14ac:dyDescent="0.25">
      <c r="A24" s="2" t="s">
        <v>12</v>
      </c>
      <c r="B24" s="3">
        <v>1.5</v>
      </c>
      <c r="C24" s="3">
        <v>1</v>
      </c>
      <c r="D24" s="3">
        <v>1.5</v>
      </c>
      <c r="E24" s="4">
        <f>SUM(B24:D24)</f>
        <v>4</v>
      </c>
      <c r="F24" s="4">
        <f>E24/SUM($E$23:$E$25)</f>
        <v>0.44444444444444442</v>
      </c>
    </row>
    <row r="25" spans="1:6" x14ac:dyDescent="0.25">
      <c r="A25" s="2" t="s">
        <v>13</v>
      </c>
      <c r="B25" s="3">
        <v>0.5</v>
      </c>
      <c r="C25" s="3">
        <v>0.5</v>
      </c>
      <c r="D25" s="3">
        <v>1</v>
      </c>
      <c r="E25" s="4">
        <f>SUM(B25:D25)</f>
        <v>2</v>
      </c>
      <c r="F25" s="4">
        <f>E25/SUM($E$23:$E$25)</f>
        <v>0.22222222222222221</v>
      </c>
    </row>
    <row r="27" spans="1:6" x14ac:dyDescent="0.25">
      <c r="A27" s="7" t="s">
        <v>15</v>
      </c>
      <c r="B27" s="8"/>
      <c r="C27" s="8"/>
      <c r="D27" s="8"/>
      <c r="E27" s="8"/>
      <c r="F27" s="8"/>
    </row>
    <row r="28" spans="1:6" x14ac:dyDescent="0.25">
      <c r="A28" s="1"/>
      <c r="B28" s="1" t="s">
        <v>11</v>
      </c>
      <c r="C28" s="1" t="s">
        <v>12</v>
      </c>
      <c r="D28" s="1" t="s">
        <v>13</v>
      </c>
      <c r="E28" s="1" t="s">
        <v>5</v>
      </c>
      <c r="F28" s="1" t="s">
        <v>6</v>
      </c>
    </row>
    <row r="29" spans="1:6" x14ac:dyDescent="0.25">
      <c r="A29" s="2" t="s">
        <v>11</v>
      </c>
      <c r="B29" s="3">
        <v>1</v>
      </c>
      <c r="C29" s="3">
        <v>1</v>
      </c>
      <c r="D29" s="3">
        <v>0.5</v>
      </c>
      <c r="E29" s="4">
        <f>SUM(B29:D29)</f>
        <v>2.5</v>
      </c>
      <c r="F29" s="4">
        <f>E29/SUM($E$29:$E$31)</f>
        <v>0.27777777777777779</v>
      </c>
    </row>
    <row r="30" spans="1:6" x14ac:dyDescent="0.25">
      <c r="A30" s="2" t="s">
        <v>12</v>
      </c>
      <c r="B30" s="3">
        <v>1</v>
      </c>
      <c r="C30" s="3">
        <v>1</v>
      </c>
      <c r="D30" s="3">
        <v>0.5</v>
      </c>
      <c r="E30" s="4">
        <f>SUM(B30:D30)</f>
        <v>2.5</v>
      </c>
      <c r="F30" s="4">
        <f>E30/SUM($E$29:$E$31)</f>
        <v>0.27777777777777779</v>
      </c>
    </row>
    <row r="31" spans="1:6" x14ac:dyDescent="0.25">
      <c r="A31" s="2" t="s">
        <v>13</v>
      </c>
      <c r="B31" s="3">
        <v>1.5</v>
      </c>
      <c r="C31" s="3">
        <v>1.5</v>
      </c>
      <c r="D31" s="3">
        <v>1</v>
      </c>
      <c r="E31" s="4">
        <f>SUM(B31:D31)</f>
        <v>4</v>
      </c>
      <c r="F31" s="4">
        <f>E31/SUM($E$29:$E$31)</f>
        <v>0.44444444444444442</v>
      </c>
    </row>
    <row r="33" spans="1:6" x14ac:dyDescent="0.25">
      <c r="A33" s="7" t="s">
        <v>16</v>
      </c>
      <c r="B33" s="8"/>
      <c r="C33" s="8"/>
      <c r="D33" s="8"/>
      <c r="E33" s="8"/>
      <c r="F33" s="8"/>
    </row>
    <row r="34" spans="1:6" x14ac:dyDescent="0.25">
      <c r="A34" s="1"/>
      <c r="B34" s="1" t="s">
        <v>11</v>
      </c>
      <c r="C34" s="1" t="s">
        <v>12</v>
      </c>
      <c r="D34" s="1" t="s">
        <v>13</v>
      </c>
      <c r="E34" s="1" t="s">
        <v>5</v>
      </c>
      <c r="F34" s="1" t="s">
        <v>6</v>
      </c>
    </row>
    <row r="35" spans="1:6" x14ac:dyDescent="0.25">
      <c r="A35" s="2" t="s">
        <v>11</v>
      </c>
      <c r="B35" s="3">
        <v>1</v>
      </c>
      <c r="C35" s="3">
        <v>0.5</v>
      </c>
      <c r="D35" s="3">
        <v>0.5</v>
      </c>
      <c r="E35" s="4">
        <f>SUM(B35:D35)</f>
        <v>2</v>
      </c>
      <c r="F35" s="4">
        <f>E35/SUM($E$35:$E$37)</f>
        <v>0.22222222222222221</v>
      </c>
    </row>
    <row r="36" spans="1:6" x14ac:dyDescent="0.25">
      <c r="A36" s="2" t="s">
        <v>12</v>
      </c>
      <c r="B36" s="3">
        <v>1.5</v>
      </c>
      <c r="C36" s="3">
        <v>1</v>
      </c>
      <c r="D36" s="3">
        <v>1</v>
      </c>
      <c r="E36" s="4">
        <f>SUM(B36:D36)</f>
        <v>3.5</v>
      </c>
      <c r="F36" s="4">
        <f>E36/SUM($E$35:$E$37)</f>
        <v>0.3888888888888889</v>
      </c>
    </row>
    <row r="37" spans="1:6" x14ac:dyDescent="0.25">
      <c r="A37" s="2" t="s">
        <v>13</v>
      </c>
      <c r="B37" s="3">
        <v>1.5</v>
      </c>
      <c r="C37" s="3">
        <v>1</v>
      </c>
      <c r="D37" s="3">
        <v>1</v>
      </c>
      <c r="E37" s="4">
        <f>SUM(B37:D37)</f>
        <v>3.5</v>
      </c>
      <c r="F37" s="4">
        <f>E37/SUM($E$35:$E$37)</f>
        <v>0.3888888888888889</v>
      </c>
    </row>
    <row r="39" spans="1:6" x14ac:dyDescent="0.25">
      <c r="A39" s="7" t="s">
        <v>17</v>
      </c>
      <c r="B39" s="8"/>
      <c r="C39" s="8"/>
      <c r="D39" s="8"/>
      <c r="E39" s="8"/>
      <c r="F39" s="8"/>
    </row>
    <row r="40" spans="1:6" x14ac:dyDescent="0.25">
      <c r="A40" s="1"/>
      <c r="B40" s="1" t="s">
        <v>11</v>
      </c>
      <c r="C40" s="1" t="s">
        <v>12</v>
      </c>
      <c r="D40" s="1" t="s">
        <v>13</v>
      </c>
      <c r="E40" s="1" t="s">
        <v>5</v>
      </c>
      <c r="F40" s="1" t="s">
        <v>6</v>
      </c>
    </row>
    <row r="41" spans="1:6" x14ac:dyDescent="0.25">
      <c r="A41" s="2" t="s">
        <v>11</v>
      </c>
      <c r="B41" s="3">
        <v>1</v>
      </c>
      <c r="C41" s="3">
        <v>1.5</v>
      </c>
      <c r="D41" s="3">
        <v>1.5</v>
      </c>
      <c r="E41" s="4">
        <f>SUM(B41:D41)</f>
        <v>4</v>
      </c>
      <c r="F41" s="4">
        <f>E41/SUM($E$41:$E$43)</f>
        <v>0.44444444444444442</v>
      </c>
    </row>
    <row r="42" spans="1:6" x14ac:dyDescent="0.25">
      <c r="A42" s="2" t="s">
        <v>12</v>
      </c>
      <c r="B42" s="3">
        <v>0.5</v>
      </c>
      <c r="C42" s="3">
        <v>1</v>
      </c>
      <c r="D42" s="3">
        <v>1</v>
      </c>
      <c r="E42" s="4">
        <f>SUM(B42:D42)</f>
        <v>2.5</v>
      </c>
      <c r="F42" s="4">
        <f>E42/SUM($E$41:$E$43)</f>
        <v>0.27777777777777779</v>
      </c>
    </row>
    <row r="43" spans="1:6" x14ac:dyDescent="0.25">
      <c r="A43" s="2" t="s">
        <v>13</v>
      </c>
      <c r="B43" s="3">
        <v>0.5</v>
      </c>
      <c r="C43" s="3">
        <v>1</v>
      </c>
      <c r="D43" s="3">
        <v>1</v>
      </c>
      <c r="E43" s="4">
        <f>SUM(B43:D43)</f>
        <v>2.5</v>
      </c>
      <c r="F43" s="4">
        <f>E43/SUM($E$41:$E$43)</f>
        <v>0.27777777777777779</v>
      </c>
    </row>
    <row r="45" spans="1:6" x14ac:dyDescent="0.25">
      <c r="A45" s="7" t="s">
        <v>18</v>
      </c>
      <c r="B45" s="8"/>
      <c r="C45" s="8"/>
      <c r="D45" s="8"/>
      <c r="E45" s="8"/>
      <c r="F45" s="8"/>
    </row>
    <row r="46" spans="1:6" x14ac:dyDescent="0.25">
      <c r="A46" s="1"/>
      <c r="B46" s="1" t="s">
        <v>11</v>
      </c>
      <c r="C46" s="1" t="s">
        <v>12</v>
      </c>
      <c r="D46" s="1" t="s">
        <v>13</v>
      </c>
      <c r="E46" s="1" t="s">
        <v>5</v>
      </c>
      <c r="F46" s="1" t="s">
        <v>6</v>
      </c>
    </row>
    <row r="47" spans="1:6" x14ac:dyDescent="0.25">
      <c r="A47" s="2" t="s">
        <v>11</v>
      </c>
      <c r="B47" s="3">
        <v>1</v>
      </c>
      <c r="C47" s="3">
        <v>1.5</v>
      </c>
      <c r="D47" s="3">
        <v>1</v>
      </c>
      <c r="E47" s="4">
        <f>SUM(B47:D47)</f>
        <v>3.5</v>
      </c>
      <c r="F47" s="4">
        <f>E47/SUM($E$47:$E$49)</f>
        <v>0.3888888888888889</v>
      </c>
    </row>
    <row r="48" spans="1:6" x14ac:dyDescent="0.25">
      <c r="A48" s="2" t="s">
        <v>12</v>
      </c>
      <c r="B48" s="3">
        <v>0.5</v>
      </c>
      <c r="C48" s="3">
        <v>1</v>
      </c>
      <c r="D48" s="3">
        <v>0.5</v>
      </c>
      <c r="E48" s="4">
        <f>SUM(B48:D48)</f>
        <v>2</v>
      </c>
      <c r="F48" s="4">
        <f>E48/SUM($E$47:$E$49)</f>
        <v>0.22222222222222221</v>
      </c>
    </row>
    <row r="49" spans="1:7" x14ac:dyDescent="0.25">
      <c r="A49" s="2" t="s">
        <v>13</v>
      </c>
      <c r="B49" s="3">
        <v>1</v>
      </c>
      <c r="C49" s="3">
        <v>1.5</v>
      </c>
      <c r="D49" s="3">
        <v>1</v>
      </c>
      <c r="E49" s="4">
        <f>SUM(B49:D49)</f>
        <v>3.5</v>
      </c>
      <c r="F49" s="4">
        <f>E49/SUM($E$47:$E$49)</f>
        <v>0.3888888888888889</v>
      </c>
    </row>
    <row r="52" spans="1:7" ht="17.25" x14ac:dyDescent="0.3">
      <c r="A52" s="13" t="s">
        <v>19</v>
      </c>
      <c r="B52" s="8"/>
      <c r="C52" s="8"/>
      <c r="D52" s="8"/>
      <c r="E52" s="8"/>
      <c r="F52" s="8"/>
      <c r="G52" s="8"/>
    </row>
    <row r="54" spans="1:7" x14ac:dyDescent="0.25">
      <c r="A54" s="7" t="s">
        <v>20</v>
      </c>
      <c r="B54" s="8"/>
      <c r="C54" s="8"/>
      <c r="D54" s="8"/>
      <c r="E54" s="8"/>
    </row>
    <row r="55" spans="1:7" x14ac:dyDescent="0.25">
      <c r="A55" s="1"/>
      <c r="B55" s="1" t="s">
        <v>11</v>
      </c>
      <c r="C55" s="1" t="s">
        <v>12</v>
      </c>
      <c r="D55" s="1" t="s">
        <v>13</v>
      </c>
    </row>
    <row r="56" spans="1:7" x14ac:dyDescent="0.25">
      <c r="A56" s="2" t="s">
        <v>2</v>
      </c>
      <c r="B56" s="5">
        <v>0.30555555555555558</v>
      </c>
      <c r="C56" s="5">
        <v>0.44444444444444442</v>
      </c>
      <c r="D56" s="5">
        <v>0.25</v>
      </c>
    </row>
    <row r="57" spans="1:7" x14ac:dyDescent="0.25">
      <c r="A57" s="2" t="s">
        <v>3</v>
      </c>
      <c r="B57" s="5">
        <v>0.25</v>
      </c>
      <c r="C57" s="5">
        <v>0.33333333333333343</v>
      </c>
      <c r="D57" s="5">
        <v>0.41666666666666657</v>
      </c>
    </row>
    <row r="58" spans="1:7" x14ac:dyDescent="0.25">
      <c r="A58" s="2" t="s">
        <v>4</v>
      </c>
      <c r="B58" s="5">
        <v>0.41666666666666657</v>
      </c>
      <c r="C58" s="5">
        <v>0.25</v>
      </c>
      <c r="D58" s="5">
        <v>0.33333333333333343</v>
      </c>
    </row>
    <row r="60" spans="1:7" x14ac:dyDescent="0.25">
      <c r="A60" s="7" t="s">
        <v>21</v>
      </c>
      <c r="B60" s="8"/>
      <c r="C60" s="8"/>
      <c r="D60" s="8"/>
      <c r="E60" s="8"/>
    </row>
    <row r="61" spans="1:7" x14ac:dyDescent="0.25">
      <c r="A61" s="1"/>
      <c r="B61" s="1" t="s">
        <v>11</v>
      </c>
      <c r="C61" s="1" t="s">
        <v>12</v>
      </c>
      <c r="D61" s="1" t="s">
        <v>13</v>
      </c>
    </row>
    <row r="62" spans="1:7" x14ac:dyDescent="0.25">
      <c r="A62" s="2" t="s">
        <v>22</v>
      </c>
      <c r="B62" s="6">
        <v>0.31172839506172828</v>
      </c>
      <c r="C62" s="6">
        <v>0.36419753086419748</v>
      </c>
      <c r="D62" s="6">
        <v>0.32407407407407413</v>
      </c>
    </row>
    <row r="64" spans="1:7" x14ac:dyDescent="0.25">
      <c r="A64" s="14" t="s">
        <v>34</v>
      </c>
      <c r="B64" s="8"/>
      <c r="C64" s="8"/>
      <c r="D64" s="8"/>
      <c r="E64" s="8"/>
      <c r="F64" s="8"/>
      <c r="G64" s="8"/>
    </row>
    <row r="66" spans="1:7" x14ac:dyDescent="0.25">
      <c r="A66" s="9" t="s">
        <v>35</v>
      </c>
      <c r="B66" s="8"/>
      <c r="C66" s="8"/>
      <c r="D66" s="8"/>
      <c r="E66" s="8"/>
      <c r="F66" s="8"/>
      <c r="G66" s="8"/>
    </row>
    <row r="67" spans="1:7" x14ac:dyDescent="0.25">
      <c r="A67" s="11" t="s">
        <v>36</v>
      </c>
      <c r="B67" s="8"/>
      <c r="C67" s="8"/>
      <c r="D67" s="8"/>
      <c r="E67" s="8"/>
      <c r="F67" s="8"/>
      <c r="G67" s="8"/>
    </row>
  </sheetData>
  <mergeCells count="16">
    <mergeCell ref="A33:F33"/>
    <mergeCell ref="A66:G66"/>
    <mergeCell ref="A1:G1"/>
    <mergeCell ref="A54:E54"/>
    <mergeCell ref="A67:G67"/>
    <mergeCell ref="A10:E10"/>
    <mergeCell ref="A45:F45"/>
    <mergeCell ref="A60:E60"/>
    <mergeCell ref="A27:F27"/>
    <mergeCell ref="A2:G2"/>
    <mergeCell ref="A52:G52"/>
    <mergeCell ref="A4:F4"/>
    <mergeCell ref="A64:G64"/>
    <mergeCell ref="A21:F21"/>
    <mergeCell ref="A39:F39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Вариант 3</vt:lpstr>
      <vt:lpstr>Задание 2 — Микрофон</vt:lpstr>
      <vt:lpstr>Задание 2 — ВУЗ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Диитрий Рослов</cp:lastModifiedBy>
  <dcterms:created xsi:type="dcterms:W3CDTF">2026-04-12T19:14:18Z</dcterms:created>
  <dcterms:modified xsi:type="dcterms:W3CDTF">2026-04-12T19:18:32Z</dcterms:modified>
</cp:coreProperties>
</file>