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4F97CD39-93B5-4973-9E82-4BBE070BB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2" i="1"/>
  <c r="F61" i="1"/>
  <c r="F60" i="1"/>
  <c r="F64" i="1" s="1"/>
  <c r="H53" i="1"/>
  <c r="G53" i="1"/>
  <c r="G52" i="1"/>
  <c r="G51" i="1"/>
  <c r="G50" i="1"/>
  <c r="F53" i="1"/>
  <c r="F52" i="1"/>
  <c r="H52" i="1" s="1"/>
  <c r="F51" i="1"/>
  <c r="H51" i="1" s="1"/>
  <c r="F50" i="1"/>
  <c r="H50" i="1" s="1"/>
  <c r="H54" i="1" s="1"/>
  <c r="G44" i="1"/>
  <c r="G43" i="1"/>
  <c r="G42" i="1"/>
  <c r="G41" i="1"/>
  <c r="F44" i="1"/>
  <c r="H44" i="1" s="1"/>
  <c r="F43" i="1"/>
  <c r="H43" i="1" s="1"/>
  <c r="F42" i="1"/>
  <c r="H42" i="1" s="1"/>
  <c r="F41" i="1"/>
  <c r="H41" i="1" s="1"/>
  <c r="H45" i="1" s="1"/>
  <c r="F34" i="1"/>
  <c r="F33" i="1"/>
  <c r="F32" i="1"/>
  <c r="F31" i="1"/>
  <c r="F35" i="1" s="1"/>
  <c r="F24" i="1"/>
  <c r="F23" i="1"/>
  <c r="F22" i="1"/>
  <c r="F21" i="1"/>
  <c r="F25" i="1" s="1"/>
  <c r="F15" i="1"/>
  <c r="F14" i="1"/>
  <c r="F13" i="1"/>
  <c r="F12" i="1"/>
  <c r="F16" i="1" s="1"/>
</calcChain>
</file>

<file path=xl/sharedStrings.xml><?xml version="1.0" encoding="utf-8"?>
<sst xmlns="http://schemas.openxmlformats.org/spreadsheetml/2006/main" count="141" uniqueCount="81">
  <si>
    <t>Практическая работа №4. Принятие решений в условиях неопределённости и риска</t>
  </si>
  <si>
    <t>Матрица выигрышей (платёжная матрица)</t>
  </si>
  <si>
    <t>Стратегии \ Исходы</t>
  </si>
  <si>
    <t>S1</t>
  </si>
  <si>
    <t>S2</t>
  </si>
  <si>
    <t>S3</t>
  </si>
  <si>
    <t>S4</t>
  </si>
  <si>
    <t>A1</t>
  </si>
  <si>
    <t>A2</t>
  </si>
  <si>
    <t>A3</t>
  </si>
  <si>
    <t>A4</t>
  </si>
  <si>
    <t>1. Критерий Лапласа: L(i) = (1/m) · Σ a_ij → max</t>
  </si>
  <si>
    <t>L(i) = среднее</t>
  </si>
  <si>
    <t>L* = max L(i):</t>
  </si>
  <si>
    <t>Оптимальная:</t>
  </si>
  <si>
    <t>A3 (16.25)</t>
  </si>
  <si>
    <t>2. Критерий Вальда (максимин): W(i) = min a_ij → max</t>
  </si>
  <si>
    <t>W(i) = min</t>
  </si>
  <si>
    <t>W* = max W(i):</t>
  </si>
  <si>
    <t>A1 (10)</t>
  </si>
  <si>
    <t>3. Критерий Сэвиджа (минимакс сожалений): C = min(max r_ij)</t>
  </si>
  <si>
    <t>Матрица сожалений (рисков) R:</t>
  </si>
  <si>
    <t>S1 (max=20)</t>
  </si>
  <si>
    <t>S2 (max=20)</t>
  </si>
  <si>
    <t>S3 (max=20)</t>
  </si>
  <si>
    <t>S4 (max=25)</t>
  </si>
  <si>
    <t>max r_ij</t>
  </si>
  <si>
    <t>C = min(max r):</t>
  </si>
  <si>
    <t>A1 (12)</t>
  </si>
  <si>
    <t>4. Критерий Гурвица: G(i) = α·min(a_ij) + (1-α)·max(a_ij)</t>
  </si>
  <si>
    <t>α = 0.2 (ближе к оптимизму)</t>
  </si>
  <si>
    <t>min</t>
  </si>
  <si>
    <t>max</t>
  </si>
  <si>
    <t>G(i), α=0.2</t>
  </si>
  <si>
    <t>G* = max G(i):</t>
  </si>
  <si>
    <t>A2 (21.0)</t>
  </si>
  <si>
    <t>α = 0.8 (ближе к пессимизму)</t>
  </si>
  <si>
    <t>G(i), α=0.8</t>
  </si>
  <si>
    <t>A1 (10.6)</t>
  </si>
  <si>
    <t>5. Математическое ожидание: M(i) = Σ a_ij · y_j,  y = (0.6; 0.1; 0.2; 0.1)</t>
  </si>
  <si>
    <t>S1 (y=0.6)</t>
  </si>
  <si>
    <t>S2 (y=0.1)</t>
  </si>
  <si>
    <t>S3 (y=0.2)</t>
  </si>
  <si>
    <t>S4 (y=0.1)</t>
  </si>
  <si>
    <t>M(i)</t>
  </si>
  <si>
    <t>Вероятности y_j</t>
  </si>
  <si>
    <t>M* = max M(i):</t>
  </si>
  <si>
    <t>A4 (14.0)</t>
  </si>
  <si>
    <t>Сводная таблица результатов</t>
  </si>
  <si>
    <t>Критерий</t>
  </si>
  <si>
    <t>Формула</t>
  </si>
  <si>
    <t>Оптимальная стратегия</t>
  </si>
  <si>
    <t>Значение</t>
  </si>
  <si>
    <t>Лаплас</t>
  </si>
  <si>
    <t>L(i) = среднее a_ij → max</t>
  </si>
  <si>
    <t>16.25</t>
  </si>
  <si>
    <t>Вальд</t>
  </si>
  <si>
    <t>W(i) = min a_ij → max</t>
  </si>
  <si>
    <t>10</t>
  </si>
  <si>
    <t>Сэвидж</t>
  </si>
  <si>
    <t>C = min(max r_ij)</t>
  </si>
  <si>
    <t>12</t>
  </si>
  <si>
    <t>Гурвиц (α=0.2)</t>
  </si>
  <si>
    <t>G = 0.2·min + 0.8·max → max</t>
  </si>
  <si>
    <t>21.0</t>
  </si>
  <si>
    <t>Гурвиц (α=0.8)</t>
  </si>
  <si>
    <t>G = 0.8·min + 0.2·max → max</t>
  </si>
  <si>
    <t>10.6</t>
  </si>
  <si>
    <t>Мат. ожидание</t>
  </si>
  <si>
    <t>M = Σ a_ij·y_j → max</t>
  </si>
  <si>
    <t>14.0</t>
  </si>
  <si>
    <t>Выводы</t>
  </si>
  <si>
    <t>1. Критерий Лапласа (равновероятные исходы): оптимальна A3 (L = 16.25)</t>
  </si>
  <si>
    <t>2. Критерий Вальда (пессимистический): оптимальна A1 (W = 10) — гарантирует наибольший минимальный выигрыш</t>
  </si>
  <si>
    <t>3. Критерий Сэвиджа (минимум сожалений): оптимальна A1 (max сожаление = 12)</t>
  </si>
  <si>
    <t>4. Критерий Гурвица при α=0.2 (оптимист): оптимальна A2 (G = 21.0)</t>
  </si>
  <si>
    <t>5. Критерий Гурвица при α=0.8 (пессимист): оптимальна A1 (G = 10.6)</t>
  </si>
  <si>
    <t>6. Математическое ожидание: оптимальна A4 (M = 14.0)</t>
  </si>
  <si>
    <t>Разные критерии дают разные рекомендации, что объясняется различными предположениями о поведении</t>
  </si>
  <si>
    <t>среды и отношении к риску. Осторожный игрок выберет A1 (Вальд, Сэвидж), оптимист — A2 (Гурвиц α=0.2),</t>
  </si>
  <si>
    <t>а при известном распределении вероятностей — A4 (мат. ожидание).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</si>
</sst>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2"/>
      <color rgb="FF2F549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2"/>
      <name val="Calibri"/>
      <family val="2"/>
      <charset val="204"/>
    </font>
    <font>
      <b/>
      <i/>
      <sz val="11"/>
      <name val="Calibri"/>
      <family val="2"/>
      <charset val="204"/>
    </font>
    <font>
      <sz val="1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2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G72" sqref="G72"/>
    </sheetView>
  </sheetViews>
  <sheetFormatPr defaultRowHeight="15" x14ac:dyDescent="0.25"/>
  <cols>
    <col min="1" max="1" width="20" customWidth="1"/>
    <col min="2" max="2" width="30" customWidth="1"/>
    <col min="3" max="3" width="22" customWidth="1"/>
    <col min="4" max="7" width="14" customWidth="1"/>
    <col min="8" max="8" width="14.7109375" customWidth="1"/>
    <col min="9" max="9" width="14" customWidth="1"/>
  </cols>
  <sheetData>
    <row r="1" spans="1:8" ht="18.75" x14ac:dyDescent="0.25">
      <c r="A1" s="19" t="s">
        <v>0</v>
      </c>
      <c r="B1" s="17"/>
      <c r="C1" s="17"/>
      <c r="D1" s="17"/>
      <c r="E1" s="17"/>
      <c r="F1" s="17"/>
      <c r="G1" s="17"/>
      <c r="H1" s="17"/>
    </row>
    <row r="3" spans="1:8" ht="15.75" x14ac:dyDescent="0.25">
      <c r="A3" s="20" t="s">
        <v>1</v>
      </c>
      <c r="B3" s="17"/>
      <c r="C3" s="17"/>
      <c r="D3" s="17"/>
      <c r="E3" s="17"/>
      <c r="F3" s="17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x14ac:dyDescent="0.25">
      <c r="A5" s="2" t="s">
        <v>7</v>
      </c>
      <c r="B5" s="3">
        <v>10</v>
      </c>
      <c r="C5" s="3">
        <v>11</v>
      </c>
      <c r="D5" s="3">
        <v>12</v>
      </c>
      <c r="E5" s="3">
        <v>13</v>
      </c>
    </row>
    <row r="6" spans="1:8" x14ac:dyDescent="0.25">
      <c r="A6" s="2" t="s">
        <v>8</v>
      </c>
      <c r="B6" s="3">
        <v>5</v>
      </c>
      <c r="C6" s="3">
        <v>5</v>
      </c>
      <c r="D6" s="3">
        <v>5</v>
      </c>
      <c r="E6" s="3">
        <v>25</v>
      </c>
    </row>
    <row r="7" spans="1:8" x14ac:dyDescent="0.25">
      <c r="A7" s="2" t="s">
        <v>9</v>
      </c>
      <c r="B7" s="3">
        <v>5</v>
      </c>
      <c r="C7" s="3">
        <v>20</v>
      </c>
      <c r="D7" s="3">
        <v>20</v>
      </c>
      <c r="E7" s="3">
        <v>20</v>
      </c>
    </row>
    <row r="8" spans="1:8" x14ac:dyDescent="0.25">
      <c r="A8" s="2" t="s">
        <v>10</v>
      </c>
      <c r="B8" s="3">
        <v>20</v>
      </c>
      <c r="C8" s="3">
        <v>5</v>
      </c>
      <c r="D8" s="3">
        <v>5</v>
      </c>
      <c r="E8" s="3">
        <v>5</v>
      </c>
    </row>
    <row r="10" spans="1:8" ht="15.75" x14ac:dyDescent="0.25">
      <c r="A10" s="20" t="s">
        <v>11</v>
      </c>
      <c r="B10" s="17"/>
      <c r="C10" s="17"/>
      <c r="D10" s="17"/>
      <c r="E10" s="17"/>
      <c r="F10" s="17"/>
      <c r="G10" s="17"/>
      <c r="H10" s="17"/>
    </row>
    <row r="11" spans="1:8" x14ac:dyDescent="0.2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12</v>
      </c>
    </row>
    <row r="12" spans="1:8" x14ac:dyDescent="0.25">
      <c r="A12" s="2" t="s">
        <v>7</v>
      </c>
      <c r="B12" s="3">
        <v>10</v>
      </c>
      <c r="C12" s="3">
        <v>11</v>
      </c>
      <c r="D12" s="3">
        <v>12</v>
      </c>
      <c r="E12" s="3">
        <v>13</v>
      </c>
      <c r="F12" s="4">
        <f>AVERAGE(B12:E12)</f>
        <v>11.5</v>
      </c>
    </row>
    <row r="13" spans="1:8" x14ac:dyDescent="0.25">
      <c r="A13" s="2" t="s">
        <v>8</v>
      </c>
      <c r="B13" s="3">
        <v>5</v>
      </c>
      <c r="C13" s="3">
        <v>5</v>
      </c>
      <c r="D13" s="3">
        <v>5</v>
      </c>
      <c r="E13" s="3">
        <v>25</v>
      </c>
      <c r="F13" s="4">
        <f>AVERAGE(B13:E13)</f>
        <v>10</v>
      </c>
    </row>
    <row r="14" spans="1:8" x14ac:dyDescent="0.25">
      <c r="A14" s="2" t="s">
        <v>9</v>
      </c>
      <c r="B14" s="3">
        <v>5</v>
      </c>
      <c r="C14" s="3">
        <v>20</v>
      </c>
      <c r="D14" s="3">
        <v>20</v>
      </c>
      <c r="E14" s="3">
        <v>20</v>
      </c>
      <c r="F14" s="4">
        <f>AVERAGE(B14:E14)</f>
        <v>16.25</v>
      </c>
    </row>
    <row r="15" spans="1:8" x14ac:dyDescent="0.25">
      <c r="A15" s="2" t="s">
        <v>10</v>
      </c>
      <c r="B15" s="3">
        <v>20</v>
      </c>
      <c r="C15" s="3">
        <v>5</v>
      </c>
      <c r="D15" s="3">
        <v>5</v>
      </c>
      <c r="E15" s="3">
        <v>5</v>
      </c>
      <c r="F15" s="4">
        <f>AVERAGE(B15:E15)</f>
        <v>8.75</v>
      </c>
    </row>
    <row r="16" spans="1:8" ht="15.75" x14ac:dyDescent="0.25">
      <c r="E16" s="5" t="s">
        <v>13</v>
      </c>
      <c r="F16" s="6">
        <f>MAX(F12:F15)</f>
        <v>16.25</v>
      </c>
    </row>
    <row r="17" spans="1:8" ht="15.75" x14ac:dyDescent="0.25">
      <c r="E17" s="5" t="s">
        <v>14</v>
      </c>
      <c r="F17" s="7" t="s">
        <v>15</v>
      </c>
    </row>
    <row r="19" spans="1:8" ht="15.75" x14ac:dyDescent="0.25">
      <c r="A19" s="20" t="s">
        <v>16</v>
      </c>
      <c r="B19" s="17"/>
      <c r="C19" s="17"/>
      <c r="D19" s="17"/>
      <c r="E19" s="17"/>
      <c r="F19" s="17"/>
      <c r="G19" s="17"/>
      <c r="H19" s="17"/>
    </row>
    <row r="20" spans="1:8" x14ac:dyDescent="0.25">
      <c r="A20" s="1" t="s">
        <v>2</v>
      </c>
      <c r="B20" s="1" t="s">
        <v>3</v>
      </c>
      <c r="C20" s="1" t="s">
        <v>4</v>
      </c>
      <c r="D20" s="1" t="s">
        <v>5</v>
      </c>
      <c r="E20" s="1" t="s">
        <v>6</v>
      </c>
      <c r="F20" s="1" t="s">
        <v>17</v>
      </c>
    </row>
    <row r="21" spans="1:8" x14ac:dyDescent="0.25">
      <c r="A21" s="2" t="s">
        <v>7</v>
      </c>
      <c r="B21" s="3">
        <v>10</v>
      </c>
      <c r="C21" s="3">
        <v>11</v>
      </c>
      <c r="D21" s="3">
        <v>12</v>
      </c>
      <c r="E21" s="3">
        <v>13</v>
      </c>
      <c r="F21" s="8">
        <f>MIN(B21:E21)</f>
        <v>10</v>
      </c>
    </row>
    <row r="22" spans="1:8" x14ac:dyDescent="0.25">
      <c r="A22" s="2" t="s">
        <v>8</v>
      </c>
      <c r="B22" s="3">
        <v>5</v>
      </c>
      <c r="C22" s="3">
        <v>5</v>
      </c>
      <c r="D22" s="3">
        <v>5</v>
      </c>
      <c r="E22" s="3">
        <v>25</v>
      </c>
      <c r="F22" s="8">
        <f>MIN(B22:E22)</f>
        <v>5</v>
      </c>
    </row>
    <row r="23" spans="1:8" x14ac:dyDescent="0.25">
      <c r="A23" s="2" t="s">
        <v>9</v>
      </c>
      <c r="B23" s="3">
        <v>5</v>
      </c>
      <c r="C23" s="3">
        <v>20</v>
      </c>
      <c r="D23" s="3">
        <v>20</v>
      </c>
      <c r="E23" s="3">
        <v>20</v>
      </c>
      <c r="F23" s="8">
        <f>MIN(B23:E23)</f>
        <v>5</v>
      </c>
    </row>
    <row r="24" spans="1:8" x14ac:dyDescent="0.25">
      <c r="A24" s="2" t="s">
        <v>10</v>
      </c>
      <c r="B24" s="3">
        <v>20</v>
      </c>
      <c r="C24" s="3">
        <v>5</v>
      </c>
      <c r="D24" s="3">
        <v>5</v>
      </c>
      <c r="E24" s="3">
        <v>5</v>
      </c>
      <c r="F24" s="8">
        <f>MIN(B24:E24)</f>
        <v>5</v>
      </c>
    </row>
    <row r="25" spans="1:8" ht="15.75" x14ac:dyDescent="0.25">
      <c r="E25" s="5" t="s">
        <v>18</v>
      </c>
      <c r="F25" s="9">
        <f>MAX(F21:F24)</f>
        <v>10</v>
      </c>
    </row>
    <row r="26" spans="1:8" ht="15.75" x14ac:dyDescent="0.25">
      <c r="E26" s="5" t="s">
        <v>14</v>
      </c>
      <c r="F26" s="7" t="s">
        <v>19</v>
      </c>
    </row>
    <row r="28" spans="1:8" ht="15.75" x14ac:dyDescent="0.25">
      <c r="A28" s="20" t="s">
        <v>20</v>
      </c>
      <c r="B28" s="17"/>
      <c r="C28" s="17"/>
      <c r="D28" s="17"/>
      <c r="E28" s="17"/>
      <c r="F28" s="17"/>
      <c r="G28" s="17"/>
      <c r="H28" s="17"/>
    </row>
    <row r="29" spans="1:8" x14ac:dyDescent="0.25">
      <c r="A29" s="16" t="s">
        <v>21</v>
      </c>
      <c r="B29" s="17"/>
      <c r="C29" s="17"/>
      <c r="D29" s="17"/>
      <c r="E29" s="17"/>
      <c r="F29" s="17"/>
    </row>
    <row r="30" spans="1:8" x14ac:dyDescent="0.25">
      <c r="A30" s="1" t="s">
        <v>2</v>
      </c>
      <c r="B30" s="1" t="s">
        <v>22</v>
      </c>
      <c r="C30" s="1" t="s">
        <v>23</v>
      </c>
      <c r="D30" s="1" t="s">
        <v>24</v>
      </c>
      <c r="E30" s="1" t="s">
        <v>25</v>
      </c>
      <c r="F30" s="1" t="s">
        <v>26</v>
      </c>
    </row>
    <row r="31" spans="1:8" x14ac:dyDescent="0.25">
      <c r="A31" s="2" t="s">
        <v>7</v>
      </c>
      <c r="B31" s="10">
        <v>10</v>
      </c>
      <c r="C31" s="10">
        <v>9</v>
      </c>
      <c r="D31" s="10">
        <v>8</v>
      </c>
      <c r="E31" s="10">
        <v>12</v>
      </c>
      <c r="F31" s="8">
        <f>MAX(B31:E31)</f>
        <v>12</v>
      </c>
    </row>
    <row r="32" spans="1:8" x14ac:dyDescent="0.25">
      <c r="A32" s="2" t="s">
        <v>8</v>
      </c>
      <c r="B32" s="10">
        <v>15</v>
      </c>
      <c r="C32" s="10">
        <v>15</v>
      </c>
      <c r="D32" s="10">
        <v>15</v>
      </c>
      <c r="E32" s="10">
        <v>0</v>
      </c>
      <c r="F32" s="8">
        <f>MAX(B32:E32)</f>
        <v>15</v>
      </c>
    </row>
    <row r="33" spans="1:8" x14ac:dyDescent="0.25">
      <c r="A33" s="2" t="s">
        <v>9</v>
      </c>
      <c r="B33" s="10">
        <v>15</v>
      </c>
      <c r="C33" s="10">
        <v>0</v>
      </c>
      <c r="D33" s="10">
        <v>0</v>
      </c>
      <c r="E33" s="10">
        <v>5</v>
      </c>
      <c r="F33" s="8">
        <f>MAX(B33:E33)</f>
        <v>15</v>
      </c>
    </row>
    <row r="34" spans="1:8" x14ac:dyDescent="0.25">
      <c r="A34" s="2" t="s">
        <v>10</v>
      </c>
      <c r="B34" s="10">
        <v>0</v>
      </c>
      <c r="C34" s="10">
        <v>15</v>
      </c>
      <c r="D34" s="10">
        <v>15</v>
      </c>
      <c r="E34" s="10">
        <v>20</v>
      </c>
      <c r="F34" s="8">
        <f>MAX(B34:E34)</f>
        <v>20</v>
      </c>
    </row>
    <row r="35" spans="1:8" ht="15.75" x14ac:dyDescent="0.25">
      <c r="E35" s="5" t="s">
        <v>27</v>
      </c>
      <c r="F35" s="9">
        <f>MIN(F31:F34)</f>
        <v>12</v>
      </c>
    </row>
    <row r="36" spans="1:8" ht="15.75" x14ac:dyDescent="0.25">
      <c r="E36" s="5" t="s">
        <v>14</v>
      </c>
      <c r="F36" s="7" t="s">
        <v>28</v>
      </c>
    </row>
    <row r="38" spans="1:8" ht="15.75" x14ac:dyDescent="0.25">
      <c r="A38" s="20" t="s">
        <v>29</v>
      </c>
      <c r="B38" s="17"/>
      <c r="C38" s="17"/>
      <c r="D38" s="17"/>
      <c r="E38" s="17"/>
      <c r="F38" s="17"/>
      <c r="G38" s="17"/>
      <c r="H38" s="17"/>
    </row>
    <row r="39" spans="1:8" x14ac:dyDescent="0.25">
      <c r="A39" s="16" t="s">
        <v>30</v>
      </c>
      <c r="B39" s="17"/>
      <c r="C39" s="17"/>
      <c r="D39" s="17"/>
      <c r="E39" s="17"/>
      <c r="F39" s="17"/>
      <c r="G39" s="17"/>
      <c r="H39" s="17"/>
    </row>
    <row r="40" spans="1:8" x14ac:dyDescent="0.25">
      <c r="A40" s="1" t="s">
        <v>2</v>
      </c>
      <c r="B40" s="1" t="s">
        <v>3</v>
      </c>
      <c r="C40" s="1" t="s">
        <v>4</v>
      </c>
      <c r="D40" s="1" t="s">
        <v>5</v>
      </c>
      <c r="E40" s="1" t="s">
        <v>6</v>
      </c>
      <c r="F40" s="1" t="s">
        <v>31</v>
      </c>
      <c r="G40" s="1" t="s">
        <v>32</v>
      </c>
      <c r="H40" s="1" t="s">
        <v>33</v>
      </c>
    </row>
    <row r="41" spans="1:8" x14ac:dyDescent="0.25">
      <c r="A41" s="2" t="s">
        <v>7</v>
      </c>
      <c r="B41" s="3">
        <v>10</v>
      </c>
      <c r="C41" s="3">
        <v>11</v>
      </c>
      <c r="D41" s="3">
        <v>12</v>
      </c>
      <c r="E41" s="3">
        <v>13</v>
      </c>
      <c r="F41" s="11">
        <f>MIN(B41:E41)</f>
        <v>10</v>
      </c>
      <c r="G41" s="11">
        <f>MAX(B41:E41)</f>
        <v>13</v>
      </c>
      <c r="H41" s="12">
        <f>0.2*F41+0.8*G41</f>
        <v>12.4</v>
      </c>
    </row>
    <row r="42" spans="1:8" x14ac:dyDescent="0.25">
      <c r="A42" s="2" t="s">
        <v>8</v>
      </c>
      <c r="B42" s="3">
        <v>5</v>
      </c>
      <c r="C42" s="3">
        <v>5</v>
      </c>
      <c r="D42" s="3">
        <v>5</v>
      </c>
      <c r="E42" s="3">
        <v>25</v>
      </c>
      <c r="F42" s="11">
        <f>MIN(B42:E42)</f>
        <v>5</v>
      </c>
      <c r="G42" s="11">
        <f>MAX(B42:E42)</f>
        <v>25</v>
      </c>
      <c r="H42" s="12">
        <f>0.2*F42+0.8*G42</f>
        <v>21</v>
      </c>
    </row>
    <row r="43" spans="1:8" x14ac:dyDescent="0.25">
      <c r="A43" s="2" t="s">
        <v>9</v>
      </c>
      <c r="B43" s="3">
        <v>5</v>
      </c>
      <c r="C43" s="3">
        <v>20</v>
      </c>
      <c r="D43" s="3">
        <v>20</v>
      </c>
      <c r="E43" s="3">
        <v>20</v>
      </c>
      <c r="F43" s="11">
        <f>MIN(B43:E43)</f>
        <v>5</v>
      </c>
      <c r="G43" s="11">
        <f>MAX(B43:E43)</f>
        <v>20</v>
      </c>
      <c r="H43" s="12">
        <f>0.2*F43+0.8*G43</f>
        <v>17</v>
      </c>
    </row>
    <row r="44" spans="1:8" x14ac:dyDescent="0.25">
      <c r="A44" s="2" t="s">
        <v>10</v>
      </c>
      <c r="B44" s="3">
        <v>20</v>
      </c>
      <c r="C44" s="3">
        <v>5</v>
      </c>
      <c r="D44" s="3">
        <v>5</v>
      </c>
      <c r="E44" s="3">
        <v>5</v>
      </c>
      <c r="F44" s="11">
        <f>MIN(B44:E44)</f>
        <v>5</v>
      </c>
      <c r="G44" s="11">
        <f>MAX(B44:E44)</f>
        <v>20</v>
      </c>
      <c r="H44" s="12">
        <f>0.2*F44+0.8*G44</f>
        <v>17</v>
      </c>
    </row>
    <row r="45" spans="1:8" ht="15.75" x14ac:dyDescent="0.25">
      <c r="G45" s="5" t="s">
        <v>34</v>
      </c>
      <c r="H45" s="13">
        <f>MAX(H41:H44)</f>
        <v>21</v>
      </c>
    </row>
    <row r="46" spans="1:8" ht="15.75" x14ac:dyDescent="0.25">
      <c r="G46" s="5" t="s">
        <v>14</v>
      </c>
      <c r="H46" s="7" t="s">
        <v>35</v>
      </c>
    </row>
    <row r="48" spans="1:8" x14ac:dyDescent="0.25">
      <c r="A48" s="16" t="s">
        <v>36</v>
      </c>
      <c r="B48" s="17"/>
      <c r="C48" s="17"/>
      <c r="D48" s="17"/>
      <c r="E48" s="17"/>
      <c r="F48" s="17"/>
      <c r="G48" s="17"/>
      <c r="H48" s="17"/>
    </row>
    <row r="49" spans="1:8" x14ac:dyDescent="0.25">
      <c r="A49" s="1" t="s">
        <v>2</v>
      </c>
      <c r="B49" s="1" t="s">
        <v>3</v>
      </c>
      <c r="C49" s="1" t="s">
        <v>4</v>
      </c>
      <c r="D49" s="1" t="s">
        <v>5</v>
      </c>
      <c r="E49" s="1" t="s">
        <v>6</v>
      </c>
      <c r="F49" s="1" t="s">
        <v>31</v>
      </c>
      <c r="G49" s="1" t="s">
        <v>32</v>
      </c>
      <c r="H49" s="1" t="s">
        <v>37</v>
      </c>
    </row>
    <row r="50" spans="1:8" x14ac:dyDescent="0.25">
      <c r="A50" s="2" t="s">
        <v>7</v>
      </c>
      <c r="B50" s="3">
        <v>10</v>
      </c>
      <c r="C50" s="3">
        <v>11</v>
      </c>
      <c r="D50" s="3">
        <v>12</v>
      </c>
      <c r="E50" s="3">
        <v>13</v>
      </c>
      <c r="F50" s="11">
        <f>MIN(B50:E50)</f>
        <v>10</v>
      </c>
      <c r="G50" s="11">
        <f>MAX(B50:E50)</f>
        <v>13</v>
      </c>
      <c r="H50" s="12">
        <f>0.8*F50+0.2*G50</f>
        <v>10.6</v>
      </c>
    </row>
    <row r="51" spans="1:8" x14ac:dyDescent="0.25">
      <c r="A51" s="2" t="s">
        <v>8</v>
      </c>
      <c r="B51" s="3">
        <v>5</v>
      </c>
      <c r="C51" s="3">
        <v>5</v>
      </c>
      <c r="D51" s="3">
        <v>5</v>
      </c>
      <c r="E51" s="3">
        <v>25</v>
      </c>
      <c r="F51" s="11">
        <f>MIN(B51:E51)</f>
        <v>5</v>
      </c>
      <c r="G51" s="11">
        <f>MAX(B51:E51)</f>
        <v>25</v>
      </c>
      <c r="H51" s="12">
        <f>0.8*F51+0.2*G51</f>
        <v>9</v>
      </c>
    </row>
    <row r="52" spans="1:8" x14ac:dyDescent="0.25">
      <c r="A52" s="2" t="s">
        <v>9</v>
      </c>
      <c r="B52" s="3">
        <v>5</v>
      </c>
      <c r="C52" s="3">
        <v>20</v>
      </c>
      <c r="D52" s="3">
        <v>20</v>
      </c>
      <c r="E52" s="3">
        <v>20</v>
      </c>
      <c r="F52" s="11">
        <f>MIN(B52:E52)</f>
        <v>5</v>
      </c>
      <c r="G52" s="11">
        <f>MAX(B52:E52)</f>
        <v>20</v>
      </c>
      <c r="H52" s="12">
        <f>0.8*F52+0.2*G52</f>
        <v>8</v>
      </c>
    </row>
    <row r="53" spans="1:8" x14ac:dyDescent="0.25">
      <c r="A53" s="2" t="s">
        <v>10</v>
      </c>
      <c r="B53" s="3">
        <v>20</v>
      </c>
      <c r="C53" s="3">
        <v>5</v>
      </c>
      <c r="D53" s="3">
        <v>5</v>
      </c>
      <c r="E53" s="3">
        <v>5</v>
      </c>
      <c r="F53" s="11">
        <f>MIN(B53:E53)</f>
        <v>5</v>
      </c>
      <c r="G53" s="11">
        <f>MAX(B53:E53)</f>
        <v>20</v>
      </c>
      <c r="H53" s="12">
        <f>0.8*F53+0.2*G53</f>
        <v>8</v>
      </c>
    </row>
    <row r="54" spans="1:8" ht="15.75" x14ac:dyDescent="0.25">
      <c r="G54" s="5" t="s">
        <v>34</v>
      </c>
      <c r="H54" s="13">
        <f>MAX(H50:H53)</f>
        <v>10.6</v>
      </c>
    </row>
    <row r="55" spans="1:8" ht="15.75" x14ac:dyDescent="0.25">
      <c r="G55" s="5" t="s">
        <v>14</v>
      </c>
      <c r="H55" s="7" t="s">
        <v>38</v>
      </c>
    </row>
    <row r="57" spans="1:8" ht="15.75" x14ac:dyDescent="0.25">
      <c r="A57" s="20" t="s">
        <v>39</v>
      </c>
      <c r="B57" s="17"/>
      <c r="C57" s="17"/>
      <c r="D57" s="17"/>
      <c r="E57" s="17"/>
      <c r="F57" s="17"/>
      <c r="G57" s="17"/>
      <c r="H57" s="17"/>
    </row>
    <row r="58" spans="1:8" x14ac:dyDescent="0.25">
      <c r="A58" s="1" t="s">
        <v>2</v>
      </c>
      <c r="B58" s="1" t="s">
        <v>40</v>
      </c>
      <c r="C58" s="1" t="s">
        <v>41</v>
      </c>
      <c r="D58" s="1" t="s">
        <v>42</v>
      </c>
      <c r="E58" s="1" t="s">
        <v>43</v>
      </c>
      <c r="F58" s="1" t="s">
        <v>44</v>
      </c>
    </row>
    <row r="59" spans="1:8" x14ac:dyDescent="0.25">
      <c r="A59" s="2" t="s">
        <v>45</v>
      </c>
      <c r="B59" s="14">
        <v>0.6</v>
      </c>
      <c r="C59" s="14">
        <v>0.1</v>
      </c>
      <c r="D59" s="14">
        <v>0.2</v>
      </c>
      <c r="E59" s="14">
        <v>0.1</v>
      </c>
    </row>
    <row r="60" spans="1:8" x14ac:dyDescent="0.25">
      <c r="A60" s="2" t="s">
        <v>7</v>
      </c>
      <c r="B60" s="3">
        <v>10</v>
      </c>
      <c r="C60" s="3">
        <v>11</v>
      </c>
      <c r="D60" s="3">
        <v>12</v>
      </c>
      <c r="E60" s="3">
        <v>13</v>
      </c>
      <c r="F60" s="12">
        <f>SUMPRODUCT(B60:E60,B59:E59)</f>
        <v>10.8</v>
      </c>
    </row>
    <row r="61" spans="1:8" x14ac:dyDescent="0.25">
      <c r="A61" s="2" t="s">
        <v>8</v>
      </c>
      <c r="B61" s="3">
        <v>5</v>
      </c>
      <c r="C61" s="3">
        <v>5</v>
      </c>
      <c r="D61" s="3">
        <v>5</v>
      </c>
      <c r="E61" s="3">
        <v>25</v>
      </c>
      <c r="F61" s="12">
        <f>SUMPRODUCT(B61:E61,B59:E59)</f>
        <v>7</v>
      </c>
    </row>
    <row r="62" spans="1:8" x14ac:dyDescent="0.25">
      <c r="A62" s="2" t="s">
        <v>9</v>
      </c>
      <c r="B62" s="3">
        <v>5</v>
      </c>
      <c r="C62" s="3">
        <v>20</v>
      </c>
      <c r="D62" s="3">
        <v>20</v>
      </c>
      <c r="E62" s="3">
        <v>20</v>
      </c>
      <c r="F62" s="12">
        <f>SUMPRODUCT(B62:E62,B59:E59)</f>
        <v>11</v>
      </c>
    </row>
    <row r="63" spans="1:8" x14ac:dyDescent="0.25">
      <c r="A63" s="2" t="s">
        <v>10</v>
      </c>
      <c r="B63" s="3">
        <v>20</v>
      </c>
      <c r="C63" s="3">
        <v>5</v>
      </c>
      <c r="D63" s="3">
        <v>5</v>
      </c>
      <c r="E63" s="3">
        <v>5</v>
      </c>
      <c r="F63" s="12">
        <f>SUMPRODUCT(B63:E63,B59:E59)</f>
        <v>14</v>
      </c>
    </row>
    <row r="64" spans="1:8" ht="15.75" x14ac:dyDescent="0.25">
      <c r="E64" s="5" t="s">
        <v>46</v>
      </c>
      <c r="F64" s="13">
        <f>MAX(F60:F63)</f>
        <v>14</v>
      </c>
    </row>
    <row r="65" spans="1:8" ht="15.75" x14ac:dyDescent="0.25">
      <c r="E65" s="5" t="s">
        <v>14</v>
      </c>
      <c r="F65" s="7" t="s">
        <v>47</v>
      </c>
    </row>
    <row r="67" spans="1:8" ht="15.75" x14ac:dyDescent="0.25">
      <c r="A67" s="20" t="s">
        <v>48</v>
      </c>
      <c r="B67" s="17"/>
      <c r="C67" s="17"/>
      <c r="D67" s="17"/>
      <c r="E67" s="17"/>
      <c r="F67" s="17"/>
    </row>
    <row r="68" spans="1:8" x14ac:dyDescent="0.25">
      <c r="A68" s="1" t="s">
        <v>49</v>
      </c>
      <c r="B68" s="1" t="s">
        <v>50</v>
      </c>
      <c r="C68" s="1" t="s">
        <v>51</v>
      </c>
      <c r="D68" s="1" t="s">
        <v>52</v>
      </c>
    </row>
    <row r="69" spans="1:8" x14ac:dyDescent="0.25">
      <c r="A69" s="3" t="s">
        <v>53</v>
      </c>
      <c r="B69" s="3" t="s">
        <v>54</v>
      </c>
      <c r="C69" s="15" t="s">
        <v>9</v>
      </c>
      <c r="D69" s="2" t="s">
        <v>55</v>
      </c>
    </row>
    <row r="70" spans="1:8" x14ac:dyDescent="0.25">
      <c r="A70" s="3" t="s">
        <v>56</v>
      </c>
      <c r="B70" s="3" t="s">
        <v>57</v>
      </c>
      <c r="C70" s="15" t="s">
        <v>7</v>
      </c>
      <c r="D70" s="2" t="s">
        <v>58</v>
      </c>
    </row>
    <row r="71" spans="1:8" x14ac:dyDescent="0.25">
      <c r="A71" s="3" t="s">
        <v>59</v>
      </c>
      <c r="B71" s="3" t="s">
        <v>60</v>
      </c>
      <c r="C71" s="15" t="s">
        <v>7</v>
      </c>
      <c r="D71" s="2" t="s">
        <v>61</v>
      </c>
    </row>
    <row r="72" spans="1:8" x14ac:dyDescent="0.25">
      <c r="A72" s="3" t="s">
        <v>62</v>
      </c>
      <c r="B72" s="3" t="s">
        <v>63</v>
      </c>
      <c r="C72" s="15" t="s">
        <v>8</v>
      </c>
      <c r="D72" s="2" t="s">
        <v>64</v>
      </c>
    </row>
    <row r="73" spans="1:8" x14ac:dyDescent="0.25">
      <c r="A73" s="3" t="s">
        <v>65</v>
      </c>
      <c r="B73" s="3" t="s">
        <v>66</v>
      </c>
      <c r="C73" s="15" t="s">
        <v>7</v>
      </c>
      <c r="D73" s="2" t="s">
        <v>67</v>
      </c>
    </row>
    <row r="74" spans="1:8" x14ac:dyDescent="0.25">
      <c r="A74" s="3" t="s">
        <v>68</v>
      </c>
      <c r="B74" s="3" t="s">
        <v>69</v>
      </c>
      <c r="C74" s="15" t="s">
        <v>10</v>
      </c>
      <c r="D74" s="2" t="s">
        <v>70</v>
      </c>
    </row>
    <row r="76" spans="1:8" ht="15.75" x14ac:dyDescent="0.25">
      <c r="A76" s="20" t="s">
        <v>71</v>
      </c>
      <c r="B76" s="17"/>
      <c r="C76" s="17"/>
      <c r="D76" s="17"/>
      <c r="E76" s="17"/>
      <c r="F76" s="17"/>
      <c r="G76" s="17"/>
      <c r="H76" s="17"/>
    </row>
    <row r="77" spans="1:8" x14ac:dyDescent="0.25">
      <c r="A77" s="18" t="s">
        <v>72</v>
      </c>
      <c r="B77" s="17"/>
      <c r="C77" s="17"/>
      <c r="D77" s="17"/>
      <c r="E77" s="17"/>
      <c r="F77" s="17"/>
      <c r="G77" s="17"/>
      <c r="H77" s="17"/>
    </row>
    <row r="78" spans="1:8" x14ac:dyDescent="0.25">
      <c r="A78" s="18" t="s">
        <v>73</v>
      </c>
      <c r="B78" s="17"/>
      <c r="C78" s="17"/>
      <c r="D78" s="17"/>
      <c r="E78" s="17"/>
      <c r="F78" s="17"/>
      <c r="G78" s="17"/>
      <c r="H78" s="17"/>
    </row>
    <row r="79" spans="1:8" x14ac:dyDescent="0.25">
      <c r="A79" s="18" t="s">
        <v>74</v>
      </c>
      <c r="B79" s="17"/>
      <c r="C79" s="17"/>
      <c r="D79" s="17"/>
      <c r="E79" s="17"/>
      <c r="F79" s="17"/>
      <c r="G79" s="17"/>
      <c r="H79" s="17"/>
    </row>
    <row r="80" spans="1:8" x14ac:dyDescent="0.25">
      <c r="A80" s="18" t="s">
        <v>75</v>
      </c>
      <c r="B80" s="17"/>
      <c r="C80" s="17"/>
      <c r="D80" s="17"/>
      <c r="E80" s="17"/>
      <c r="F80" s="17"/>
      <c r="G80" s="17"/>
      <c r="H80" s="17"/>
    </row>
    <row r="81" spans="1:8" x14ac:dyDescent="0.25">
      <c r="A81" s="18" t="s">
        <v>76</v>
      </c>
      <c r="B81" s="17"/>
      <c r="C81" s="17"/>
      <c r="D81" s="17"/>
      <c r="E81" s="17"/>
      <c r="F81" s="17"/>
      <c r="G81" s="17"/>
      <c r="H81" s="17"/>
    </row>
    <row r="82" spans="1:8" x14ac:dyDescent="0.25">
      <c r="A82" s="18" t="s">
        <v>77</v>
      </c>
      <c r="B82" s="17"/>
      <c r="C82" s="17"/>
      <c r="D82" s="17"/>
      <c r="E82" s="17"/>
      <c r="F82" s="17"/>
      <c r="G82" s="17"/>
      <c r="H82" s="17"/>
    </row>
    <row r="83" spans="1:8" x14ac:dyDescent="0.25">
      <c r="A83" s="18"/>
      <c r="B83" s="17"/>
      <c r="C83" s="17"/>
      <c r="D83" s="17"/>
      <c r="E83" s="17"/>
      <c r="F83" s="17"/>
      <c r="G83" s="17"/>
      <c r="H83" s="17"/>
    </row>
    <row r="84" spans="1:8" x14ac:dyDescent="0.25">
      <c r="A84" s="18" t="s">
        <v>78</v>
      </c>
      <c r="B84" s="17"/>
      <c r="C84" s="17"/>
      <c r="D84" s="17"/>
      <c r="E84" s="17"/>
      <c r="F84" s="17"/>
      <c r="G84" s="17"/>
      <c r="H84" s="17"/>
    </row>
    <row r="85" spans="1:8" x14ac:dyDescent="0.25">
      <c r="A85" s="18" t="s">
        <v>79</v>
      </c>
      <c r="B85" s="17"/>
      <c r="C85" s="17"/>
      <c r="D85" s="17"/>
      <c r="E85" s="17"/>
      <c r="F85" s="17"/>
      <c r="G85" s="17"/>
      <c r="H85" s="17"/>
    </row>
    <row r="86" spans="1:8" x14ac:dyDescent="0.25">
      <c r="A86" s="18" t="s">
        <v>80</v>
      </c>
      <c r="B86" s="17"/>
      <c r="C86" s="17"/>
      <c r="D86" s="17"/>
      <c r="E86" s="17"/>
      <c r="F86" s="17"/>
      <c r="G86" s="17"/>
      <c r="H86" s="17"/>
    </row>
  </sheetData>
  <mergeCells count="22">
    <mergeCell ref="A84:H84"/>
    <mergeCell ref="A29:F29"/>
    <mergeCell ref="A86:H86"/>
    <mergeCell ref="A57:H57"/>
    <mergeCell ref="A67:F67"/>
    <mergeCell ref="A85:H85"/>
    <mergeCell ref="A76:H76"/>
    <mergeCell ref="A81:H81"/>
    <mergeCell ref="A38:H38"/>
    <mergeCell ref="A1:H1"/>
    <mergeCell ref="A3:F3"/>
    <mergeCell ref="A79:H79"/>
    <mergeCell ref="A78:H78"/>
    <mergeCell ref="A80:H80"/>
    <mergeCell ref="A10:H10"/>
    <mergeCell ref="A28:H28"/>
    <mergeCell ref="A19:H19"/>
    <mergeCell ref="A48:H48"/>
    <mergeCell ref="A39:H39"/>
    <mergeCell ref="A77:H77"/>
    <mergeCell ref="A83:H83"/>
    <mergeCell ref="A82:H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Диитрий Рослов</cp:lastModifiedBy>
  <dcterms:created xsi:type="dcterms:W3CDTF">2026-04-12T20:54:37Z</dcterms:created>
  <dcterms:modified xsi:type="dcterms:W3CDTF">2026-04-12T20:58:50Z</dcterms:modified>
</cp:coreProperties>
</file>